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Mots" sheetId="2" state="visible" r:id="rId4"/>
    <sheet name="Synthèse" sheetId="3" state="visible" r:id="rId5"/>
  </sheets>
  <definedNames>
    <definedName function="false" hidden="true" localSheetId="1" name="_xlnm._FilterDatabase" vbProcedure="false">Mots!$A$1:$O$368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<sst xmlns="http://schemas.openxmlformats.org/spreadsheetml/2006/main" count="2661" uniqueCount="1728">
  <si>
    <t xml:space="preserve">Relecture du vocabulaire coranique</t>
  </si>
  <si>
    <t xml:space="preserve">État du fichier</t>
  </si>
  <si>
    <t xml:space="preserve">Racines, fréquences et versets d'exemple : vérifiés automatiquement sur le corpus morphologique — fiables.</t>
  </si>
  <si>
    <t xml:space="preserve">Traductions françaises : relues une première fois, mais jamais contrôlées par un tiers. C'est l'objet de ce fichier.</t>
  </si>
  <si>
    <t xml:space="preserve">Colonnes à remplir — surlignées en jaune dans l'onglet « Mots »</t>
  </si>
  <si>
    <t xml:space="preserve">Validé ?          → OK / À corriger / Douteux  (liste déroulante)</t>
  </si>
  <si>
    <t xml:space="preserve">Correction         → la traduction française corrigée, si besoin</t>
  </si>
  <si>
    <t xml:space="preserve">Remarque           → tout commentaire libre</t>
  </si>
  <si>
    <t xml:space="preserve">Exemple de ligne remplie</t>
  </si>
  <si>
    <t xml:space="preserve">id = rabb | arabe = رَبّ | sens = Seigneur | Validé ? = À corriger | Correction = Seigneur, Maître | Remarque = préciser la nuance d'éducation</t>
  </si>
  <si>
    <t xml:space="preserve">Comment lire la colonne « Mots couverts »</t>
  </si>
  <si>
    <t xml:space="preserve">Nombre de mots du Coran que l'entrée permet de reconnaître : toute la famille de la racine pour les noms,</t>
  </si>
  <si>
    <t xml:space="preserve">verbes et adjectifs ; les occurrences du mot lui-même pour les particules et les pronoms.</t>
  </si>
  <si>
    <t xml:space="preserve">Les mots d'une même racine partagent la même valeur — c'est normal, ils ouvrent la même famille.</t>
  </si>
  <si>
    <t xml:space="preserve">Au total, ces 367 entrées couvrent 76,7 % des mots du Coran.</t>
  </si>
  <si>
    <t xml:space="preserve">La colonne « Précision »</t>
  </si>
  <si>
    <t xml:space="preserve">Texte affiché à l'utilisateur après sa réponse, dans l'exercice. C'est le moment d'enseignement :</t>
  </si>
  <si>
    <t xml:space="preserve">étymologie, nuance entre deux mots proches, piège de lecture. 82 mots en ont une.</t>
  </si>
  <si>
    <t xml:space="preserve">Ce qu'il ne faut pas modifier</t>
  </si>
  <si>
    <t xml:space="preserve">Les colonnes A à J proviennent de data/vocabulaire.ts. Les corriger ici ne change rien dans l'application :</t>
  </si>
  <si>
    <t xml:space="preserve">il faut reporter les corrections dans le fichier TypeScript, ou me redonner ce tableau pour que je le fasse.</t>
  </si>
  <si>
    <t xml:space="preserve">Pack</t>
  </si>
  <si>
    <t xml:space="preserve">N°</t>
  </si>
  <si>
    <t xml:space="preserve">id</t>
  </si>
  <si>
    <t xml:space="preserve">Arabe</t>
  </si>
  <si>
    <t xml:space="preserve">Translittération</t>
  </si>
  <si>
    <t xml:space="preserve">Sens (FR)</t>
  </si>
  <si>
    <t xml:space="preserve">Précision</t>
  </si>
  <si>
    <t xml:space="preserve">Racine</t>
  </si>
  <si>
    <t xml:space="preserve">Nature</t>
  </si>
  <si>
    <t xml:space="preserve">Mots couverts</t>
  </si>
  <si>
    <t xml:space="preserve">Sourate</t>
  </si>
  <si>
    <t xml:space="preserve">Verset</t>
  </si>
  <si>
    <t xml:space="preserve">Validé ?</t>
  </si>
  <si>
    <t xml:space="preserve">Correction</t>
  </si>
  <si>
    <t xml:space="preserve">Remarque</t>
  </si>
  <si>
    <t xml:space="preserve">Les mots de la Fâtiha</t>
  </si>
  <si>
    <t xml:space="preserve">ism</t>
  </si>
  <si>
    <t xml:space="preserve">اِسْم</t>
  </si>
  <si>
    <t xml:space="preserve">nom</t>
  </si>
  <si>
    <t xml:space="preserve">س م و</t>
  </si>
  <si>
    <t xml:space="preserve">allah</t>
  </si>
  <si>
    <t xml:space="preserve">اللَّه</t>
  </si>
  <si>
    <t xml:space="preserve">Allāh</t>
  </si>
  <si>
    <t xml:space="preserve">Allah</t>
  </si>
  <si>
    <t xml:space="preserve">Le nom propre de Dieu, jamais traduit ni mis au pluriel.</t>
  </si>
  <si>
    <t xml:space="preserve">nomPropre</t>
  </si>
  <si>
    <t xml:space="preserve">rahman</t>
  </si>
  <si>
    <t xml:space="preserve">الرَّحْمَٰن</t>
  </si>
  <si>
    <t xml:space="preserve">ar-Raḥmān</t>
  </si>
  <si>
    <t xml:space="preserve">le Tout Miséricordieux</t>
  </si>
  <si>
    <t xml:space="preserve">Miséricorde immense qui englobe toute la création, croyants et mécréants.</t>
  </si>
  <si>
    <t xml:space="preserve">ر ح م</t>
  </si>
  <si>
    <t xml:space="preserve">rahim</t>
  </si>
  <si>
    <t xml:space="preserve">الرَّحِيم</t>
  </si>
  <si>
    <t xml:space="preserve">ar-Raḥīm</t>
  </si>
  <si>
    <t xml:space="preserve">le Très Miséricordieux</t>
  </si>
  <si>
    <t xml:space="preserve">Miséricorde constante et particulière, réservée aux croyants dans l'au-delà.</t>
  </si>
  <si>
    <t xml:space="preserve">adjectif</t>
  </si>
  <si>
    <t xml:space="preserve">hamd</t>
  </si>
  <si>
    <t xml:space="preserve">الْحَمْد</t>
  </si>
  <si>
    <t xml:space="preserve">al-ḥamd</t>
  </si>
  <si>
    <t xml:space="preserve">la louange</t>
  </si>
  <si>
    <t xml:space="preserve">Louange qui contient à la fois l'éloge et la reconnaissance.</t>
  </si>
  <si>
    <t xml:space="preserve">ح م د</t>
  </si>
  <si>
    <t xml:space="preserve">rabb</t>
  </si>
  <si>
    <t xml:space="preserve">رَبّ</t>
  </si>
  <si>
    <t xml:space="preserve">Seigneur</t>
  </si>
  <si>
    <t xml:space="preserve">Celui qui crée, possède, éduque et pourvoit.</t>
  </si>
  <si>
    <t xml:space="preserve">ر ب ب</t>
  </si>
  <si>
    <t xml:space="preserve">alamin</t>
  </si>
  <si>
    <t xml:space="preserve">عَالَمِين</t>
  </si>
  <si>
    <t xml:space="preserve">ʿālamīn</t>
  </si>
  <si>
    <t xml:space="preserve">les mondes, les univers</t>
  </si>
  <si>
    <t xml:space="preserve">ع ل م</t>
  </si>
  <si>
    <t xml:space="preserve">malik</t>
  </si>
  <si>
    <t xml:space="preserve">مَالِك</t>
  </si>
  <si>
    <t xml:space="preserve">mālik</t>
  </si>
  <si>
    <t xml:space="preserve">Maître, Souverain</t>
  </si>
  <si>
    <t xml:space="preserve">م ل ك</t>
  </si>
  <si>
    <t xml:space="preserve">yawm</t>
  </si>
  <si>
    <t xml:space="preserve">يَوْم</t>
  </si>
  <si>
    <t xml:space="preserve">jour</t>
  </si>
  <si>
    <t xml:space="preserve">ي و م</t>
  </si>
  <si>
    <t xml:space="preserve">din</t>
  </si>
  <si>
    <t xml:space="preserve">دِين</t>
  </si>
  <si>
    <t xml:space="preserve">dīn</t>
  </si>
  <si>
    <t xml:space="preserve">religion, rétribution</t>
  </si>
  <si>
    <t xml:space="preserve">Dans « yawm ad-dīn », le sens est celui du Jugement, de la rétribution.</t>
  </si>
  <si>
    <t xml:space="preserve">د ي ن</t>
  </si>
  <si>
    <t xml:space="preserve">abada</t>
  </si>
  <si>
    <t xml:space="preserve">عَبَدَ</t>
  </si>
  <si>
    <t xml:space="preserve">ʿabada</t>
  </si>
  <si>
    <t xml:space="preserve">adorer</t>
  </si>
  <si>
    <t xml:space="preserve">Même racine que ʿabd, le serviteur.</t>
  </si>
  <si>
    <t xml:space="preserve">ع ب د</t>
  </si>
  <si>
    <t xml:space="preserve">verbe</t>
  </si>
  <si>
    <t xml:space="preserve">istaana</t>
  </si>
  <si>
    <t xml:space="preserve">اِسْتَعَانَ</t>
  </si>
  <si>
    <t xml:space="preserve">istaʿāna</t>
  </si>
  <si>
    <t xml:space="preserve">demander secours</t>
  </si>
  <si>
    <t xml:space="preserve">ع و ن</t>
  </si>
  <si>
    <t xml:space="preserve">hada</t>
  </si>
  <si>
    <t xml:space="preserve">هَدَىٰ</t>
  </si>
  <si>
    <t xml:space="preserve">hadā</t>
  </si>
  <si>
    <t xml:space="preserve">guider</t>
  </si>
  <si>
    <t xml:space="preserve">ه د ي</t>
  </si>
  <si>
    <t xml:space="preserve">sirat</t>
  </si>
  <si>
    <t xml:space="preserve">صِرَاط</t>
  </si>
  <si>
    <t xml:space="preserve">ṣirāṭ</t>
  </si>
  <si>
    <t xml:space="preserve">chemin, voie</t>
  </si>
  <si>
    <t xml:space="preserve">Une voie large et droite, par opposition au sentier étroit.</t>
  </si>
  <si>
    <t xml:space="preserve">ص ر ط</t>
  </si>
  <si>
    <t xml:space="preserve">mustaqim</t>
  </si>
  <si>
    <t xml:space="preserve">مُسْتَقِيم</t>
  </si>
  <si>
    <t xml:space="preserve">mustaqīm</t>
  </si>
  <si>
    <t xml:space="preserve">droit, rectiligne</t>
  </si>
  <si>
    <t xml:space="preserve">ق و م</t>
  </si>
  <si>
    <t xml:space="preserve">Allah et Ses noms</t>
  </si>
  <si>
    <t xml:space="preserve">ilah</t>
  </si>
  <si>
    <t xml:space="preserve">إِلَٰه</t>
  </si>
  <si>
    <t xml:space="preserve">ilāh</t>
  </si>
  <si>
    <t xml:space="preserve">divinité</t>
  </si>
  <si>
    <t xml:space="preserve">Nom commun : ce qui est adoré. À distinguer d'Allah, nom propre.</t>
  </si>
  <si>
    <t xml:space="preserve">أ ل ه</t>
  </si>
  <si>
    <t xml:space="preserve">rahma</t>
  </si>
  <si>
    <t xml:space="preserve">رَحْمَة</t>
  </si>
  <si>
    <t xml:space="preserve">raḥma</t>
  </si>
  <si>
    <t xml:space="preserve">miséricorde</t>
  </si>
  <si>
    <t xml:space="preserve">alim</t>
  </si>
  <si>
    <t xml:space="preserve">عَلِيم</t>
  </si>
  <si>
    <t xml:space="preserve">ʿalīm</t>
  </si>
  <si>
    <t xml:space="preserve">Omniscient</t>
  </si>
  <si>
    <t xml:space="preserve">hakim</t>
  </si>
  <si>
    <t xml:space="preserve">حَكِيم</t>
  </si>
  <si>
    <t xml:space="preserve">ḥakīm</t>
  </si>
  <si>
    <t xml:space="preserve">Sage</t>
  </si>
  <si>
    <t xml:space="preserve">ح ك م</t>
  </si>
  <si>
    <t xml:space="preserve">aziz</t>
  </si>
  <si>
    <t xml:space="preserve">عَزِيز</t>
  </si>
  <si>
    <t xml:space="preserve">ʿazīz</t>
  </si>
  <si>
    <t xml:space="preserve">Puissant, Inaccessible</t>
  </si>
  <si>
    <t xml:space="preserve">ع ز ز</t>
  </si>
  <si>
    <t xml:space="preserve">ghafur</t>
  </si>
  <si>
    <t xml:space="preserve">غَفُور</t>
  </si>
  <si>
    <t xml:space="preserve">ghafūr</t>
  </si>
  <si>
    <t xml:space="preserve">Pardonneur</t>
  </si>
  <si>
    <t xml:space="preserve">غ ف ر</t>
  </si>
  <si>
    <t xml:space="preserve">sami</t>
  </si>
  <si>
    <t xml:space="preserve">سَمِيع</t>
  </si>
  <si>
    <t xml:space="preserve">samīʿ</t>
  </si>
  <si>
    <t xml:space="preserve">Audient, qui entend tout</t>
  </si>
  <si>
    <t xml:space="preserve">س م ع</t>
  </si>
  <si>
    <t xml:space="preserve">basir</t>
  </si>
  <si>
    <t xml:space="preserve">بَصِير</t>
  </si>
  <si>
    <t xml:space="preserve">baṣīr</t>
  </si>
  <si>
    <t xml:space="preserve">Clairvoyant, qui voit tout</t>
  </si>
  <si>
    <t xml:space="preserve">ب ص ر</t>
  </si>
  <si>
    <t xml:space="preserve">qadir</t>
  </si>
  <si>
    <t xml:space="preserve">قَدِير</t>
  </si>
  <si>
    <t xml:space="preserve">qadīr</t>
  </si>
  <si>
    <t xml:space="preserve">Omnipotent</t>
  </si>
  <si>
    <t xml:space="preserve">ق د ر</t>
  </si>
  <si>
    <t xml:space="preserve">khabir</t>
  </si>
  <si>
    <t xml:space="preserve">خَبِير</t>
  </si>
  <si>
    <t xml:space="preserve">khabīr</t>
  </si>
  <si>
    <t xml:space="preserve">Parfaitement Informé</t>
  </si>
  <si>
    <t xml:space="preserve">خ ب ر</t>
  </si>
  <si>
    <t xml:space="preserve">karim</t>
  </si>
  <si>
    <t xml:space="preserve">كَرِيم</t>
  </si>
  <si>
    <t xml:space="preserve">karīm</t>
  </si>
  <si>
    <t xml:space="preserve">Noble, Généreux</t>
  </si>
  <si>
    <t xml:space="preserve">ك ر م</t>
  </si>
  <si>
    <t xml:space="preserve">azim</t>
  </si>
  <si>
    <t xml:space="preserve">عَظِيم</t>
  </si>
  <si>
    <t xml:space="preserve">ʿaẓīm</t>
  </si>
  <si>
    <t xml:space="preserve">Immense, Grandiose</t>
  </si>
  <si>
    <t xml:space="preserve">ع ظ م</t>
  </si>
  <si>
    <t xml:space="preserve">halim</t>
  </si>
  <si>
    <t xml:space="preserve">حَلِيم</t>
  </si>
  <si>
    <t xml:space="preserve">ḥalīm</t>
  </si>
  <si>
    <t xml:space="preserve">Longanime, plein de mansuétude</t>
  </si>
  <si>
    <t xml:space="preserve">ح ل م</t>
  </si>
  <si>
    <t xml:space="preserve">wahid</t>
  </si>
  <si>
    <t xml:space="preserve">وَاحِد</t>
  </si>
  <si>
    <t xml:space="preserve">wāḥid</t>
  </si>
  <si>
    <t xml:space="preserve">Un, Unique</t>
  </si>
  <si>
    <t xml:space="preserve">و ح د</t>
  </si>
  <si>
    <t xml:space="preserve">hayy</t>
  </si>
  <si>
    <t xml:space="preserve">حَيّ</t>
  </si>
  <si>
    <t xml:space="preserve">ḥayy</t>
  </si>
  <si>
    <t xml:space="preserve">Vivant</t>
  </si>
  <si>
    <t xml:space="preserve">ح ي ي</t>
  </si>
  <si>
    <t xml:space="preserve">qayyum</t>
  </si>
  <si>
    <t xml:space="preserve">قَيُّوم</t>
  </si>
  <si>
    <t xml:space="preserve">qayyūm</t>
  </si>
  <si>
    <t xml:space="preserve">Celui qui subsiste par Lui-même</t>
  </si>
  <si>
    <t xml:space="preserve">tawwab</t>
  </si>
  <si>
    <t xml:space="preserve">تَوَّاب</t>
  </si>
  <si>
    <t xml:space="preserve">tawwāb</t>
  </si>
  <si>
    <t xml:space="preserve">qui accueille le repentir</t>
  </si>
  <si>
    <t xml:space="preserve">ت و ب</t>
  </si>
  <si>
    <t xml:space="preserve">shakur</t>
  </si>
  <si>
    <t xml:space="preserve">شَكُور</t>
  </si>
  <si>
    <t xml:space="preserve">shakūr</t>
  </si>
  <si>
    <t xml:space="preserve">Très Reconnaissant</t>
  </si>
  <si>
    <t xml:space="preserve">ش ك ر</t>
  </si>
  <si>
    <t xml:space="preserve">nur</t>
  </si>
  <si>
    <t xml:space="preserve">نُور</t>
  </si>
  <si>
    <t xml:space="preserve">nūr</t>
  </si>
  <si>
    <t xml:space="preserve">lumière</t>
  </si>
  <si>
    <t xml:space="preserve">ن و ر</t>
  </si>
  <si>
    <t xml:space="preserve">Les mots-outils essentiels</t>
  </si>
  <si>
    <t xml:space="preserve">min</t>
  </si>
  <si>
    <t xml:space="preserve">مِنْ</t>
  </si>
  <si>
    <t xml:space="preserve">de, depuis, parmi</t>
  </si>
  <si>
    <t xml:space="preserve">particule</t>
  </si>
  <si>
    <t xml:space="preserve">ila</t>
  </si>
  <si>
    <t xml:space="preserve">إِلَىٰ</t>
  </si>
  <si>
    <t xml:space="preserve">ilā</t>
  </si>
  <si>
    <t xml:space="preserve">vers, jusqu'à</t>
  </si>
  <si>
    <t xml:space="preserve">ala</t>
  </si>
  <si>
    <t xml:space="preserve">عَلَىٰ</t>
  </si>
  <si>
    <t xml:space="preserve">ʿalā</t>
  </si>
  <si>
    <t xml:space="preserve">sur, contre</t>
  </si>
  <si>
    <t xml:space="preserve">fi</t>
  </si>
  <si>
    <t xml:space="preserve">فِي</t>
  </si>
  <si>
    <t xml:space="preserve">fī</t>
  </si>
  <si>
    <t xml:space="preserve">dans, en</t>
  </si>
  <si>
    <t xml:space="preserve">an</t>
  </si>
  <si>
    <t xml:space="preserve">عَنْ</t>
  </si>
  <si>
    <t xml:space="preserve">ʿan</t>
  </si>
  <si>
    <t xml:space="preserve">au sujet de, loin de</t>
  </si>
  <si>
    <t xml:space="preserve">maa</t>
  </si>
  <si>
    <t xml:space="preserve">مَعَ</t>
  </si>
  <si>
    <t xml:space="preserve">maʿa</t>
  </si>
  <si>
    <t xml:space="preserve">avec</t>
  </si>
  <si>
    <t xml:space="preserve">bayna</t>
  </si>
  <si>
    <t xml:space="preserve">بَيْنَ</t>
  </si>
  <si>
    <t xml:space="preserve">entre</t>
  </si>
  <si>
    <t xml:space="preserve">ب ي ن</t>
  </si>
  <si>
    <t xml:space="preserve">inda</t>
  </si>
  <si>
    <t xml:space="preserve">عِنْدَ</t>
  </si>
  <si>
    <t xml:space="preserve">ʿinda</t>
  </si>
  <si>
    <t xml:space="preserve">auprès de, chez</t>
  </si>
  <si>
    <t xml:space="preserve">baada</t>
  </si>
  <si>
    <t xml:space="preserve">بَعْدَ</t>
  </si>
  <si>
    <t xml:space="preserve">baʿda</t>
  </si>
  <si>
    <t xml:space="preserve">après</t>
  </si>
  <si>
    <t xml:space="preserve">ب ع د</t>
  </si>
  <si>
    <t xml:space="preserve">qabla</t>
  </si>
  <si>
    <t xml:space="preserve">قَبْلَ</t>
  </si>
  <si>
    <t xml:space="preserve">avant</t>
  </si>
  <si>
    <t xml:space="preserve">ق ب ل</t>
  </si>
  <si>
    <t xml:space="preserve">ladun</t>
  </si>
  <si>
    <t xml:space="preserve">لَدُنْ</t>
  </si>
  <si>
    <t xml:space="preserve">d'auprès de</t>
  </si>
  <si>
    <t xml:space="preserve">Insiste sur l'origine directe : « de la part même de ».</t>
  </si>
  <si>
    <t xml:space="preserve">duna</t>
  </si>
  <si>
    <t xml:space="preserve">دُونَ</t>
  </si>
  <si>
    <t xml:space="preserve">dūna</t>
  </si>
  <si>
    <t xml:space="preserve">en dehors de, à l'exclusion de</t>
  </si>
  <si>
    <t xml:space="preserve">Très fréquent dans « min dūni-llāh » : en dehors d'Allah.</t>
  </si>
  <si>
    <t xml:space="preserve">د و ن</t>
  </si>
  <si>
    <t xml:space="preserve">fawqa</t>
  </si>
  <si>
    <t xml:space="preserve">فَوْقَ</t>
  </si>
  <si>
    <t xml:space="preserve">au-dessus de</t>
  </si>
  <si>
    <t xml:space="preserve">ف و ق</t>
  </si>
  <si>
    <t xml:space="preserve">tahta</t>
  </si>
  <si>
    <t xml:space="preserve">تَحْتَ</t>
  </si>
  <si>
    <t xml:space="preserve">taḥta</t>
  </si>
  <si>
    <t xml:space="preserve">sous, en dessous de</t>
  </si>
  <si>
    <t xml:space="preserve">ت ح ت</t>
  </si>
  <si>
    <t xml:space="preserve">mithl</t>
  </si>
  <si>
    <t xml:space="preserve">مِثْل</t>
  </si>
  <si>
    <t xml:space="preserve">semblable à, comme</t>
  </si>
  <si>
    <t xml:space="preserve">م ث ل</t>
  </si>
  <si>
    <t xml:space="preserve">illa</t>
  </si>
  <si>
    <t xml:space="preserve">إِلَّا</t>
  </si>
  <si>
    <t xml:space="preserve">illā</t>
  </si>
  <si>
    <t xml:space="preserve">sauf, si ce n'est</t>
  </si>
  <si>
    <t xml:space="preserve">Charnière de l'attestation de foi : « nulle divinité si ce n'est Lui ».</t>
  </si>
  <si>
    <t xml:space="preserve">hatta</t>
  </si>
  <si>
    <t xml:space="preserve">حَتَّىٰ</t>
  </si>
  <si>
    <t xml:space="preserve">ḥattā</t>
  </si>
  <si>
    <t xml:space="preserve">jusqu'à ce que</t>
  </si>
  <si>
    <t xml:space="preserve">laalla</t>
  </si>
  <si>
    <t xml:space="preserve">لَعَلَّ</t>
  </si>
  <si>
    <t xml:space="preserve">laʿalla</t>
  </si>
  <si>
    <t xml:space="preserve">afin que, peut-être</t>
  </si>
  <si>
    <t xml:space="preserve">Introduit presque toujours une finalité : « afin que vous soyez reconnaissants ».</t>
  </si>
  <si>
    <t xml:space="preserve">kama</t>
  </si>
  <si>
    <t xml:space="preserve">كَمَا</t>
  </si>
  <si>
    <t xml:space="preserve">kamā</t>
  </si>
  <si>
    <t xml:space="preserve">de même que, comme</t>
  </si>
  <si>
    <t xml:space="preserve">Les grands verbes</t>
  </si>
  <si>
    <t xml:space="preserve">qala</t>
  </si>
  <si>
    <t xml:space="preserve">قَالَ</t>
  </si>
  <si>
    <t xml:space="preserve">qāla</t>
  </si>
  <si>
    <t xml:space="preserve">dire</t>
  </si>
  <si>
    <t xml:space="preserve">Le verbe le plus fréquent du Coran : il ouvre presque tous les dialogues.</t>
  </si>
  <si>
    <t xml:space="preserve">ق و ل</t>
  </si>
  <si>
    <t xml:space="preserve">kana</t>
  </si>
  <si>
    <t xml:space="preserve">كَانَ</t>
  </si>
  <si>
    <t xml:space="preserve">kāna</t>
  </si>
  <si>
    <t xml:space="preserve">être, avoir été</t>
  </si>
  <si>
    <t xml:space="preserve">ك و ن</t>
  </si>
  <si>
    <t xml:space="preserve">jaala</t>
  </si>
  <si>
    <t xml:space="preserve">جَعَلَ</t>
  </si>
  <si>
    <t xml:space="preserve">jaʿala</t>
  </si>
  <si>
    <t xml:space="preserve">faire de, établir, placer</t>
  </si>
  <si>
    <t xml:space="preserve">ج ع ل</t>
  </si>
  <si>
    <t xml:space="preserve">alima</t>
  </si>
  <si>
    <t xml:space="preserve">عَلِمَ</t>
  </si>
  <si>
    <t xml:space="preserve">ʿalima</t>
  </si>
  <si>
    <t xml:space="preserve">savoir, connaître</t>
  </si>
  <si>
    <t xml:space="preserve">khalaqa</t>
  </si>
  <si>
    <t xml:space="preserve">خَلَقَ</t>
  </si>
  <si>
    <t xml:space="preserve">créer</t>
  </si>
  <si>
    <t xml:space="preserve">خ ل ق</t>
  </si>
  <si>
    <t xml:space="preserve">ata</t>
  </si>
  <si>
    <t xml:space="preserve">أَتَىٰ</t>
  </si>
  <si>
    <t xml:space="preserve">atā</t>
  </si>
  <si>
    <t xml:space="preserve">venir, survenir</t>
  </si>
  <si>
    <t xml:space="preserve">أ ت ي</t>
  </si>
  <si>
    <t xml:space="preserve">jaa</t>
  </si>
  <si>
    <t xml:space="preserve">جَاءَ</t>
  </si>
  <si>
    <t xml:space="preserve">jāʾa</t>
  </si>
  <si>
    <t xml:space="preserve">venir, arriver</t>
  </si>
  <si>
    <t xml:space="preserve">ج ي أ</t>
  </si>
  <si>
    <t xml:space="preserve">faala</t>
  </si>
  <si>
    <t xml:space="preserve">فَعَلَ</t>
  </si>
  <si>
    <t xml:space="preserve">faʿala</t>
  </si>
  <si>
    <t xml:space="preserve">faire, accomplir</t>
  </si>
  <si>
    <t xml:space="preserve">ف ع ل</t>
  </si>
  <si>
    <t xml:space="preserve">amila</t>
  </si>
  <si>
    <t xml:space="preserve">عَمِلَ</t>
  </si>
  <si>
    <t xml:space="preserve">ʿamila</t>
  </si>
  <si>
    <t xml:space="preserve">œuvrer, agir</t>
  </si>
  <si>
    <t xml:space="preserve">Désigne l'acte concret, souvent associé à « ṣāliḥ » : les bonnes œuvres.</t>
  </si>
  <si>
    <t xml:space="preserve">ع م ل</t>
  </si>
  <si>
    <t xml:space="preserve">arada</t>
  </si>
  <si>
    <t xml:space="preserve">أَرَادَ</t>
  </si>
  <si>
    <t xml:space="preserve">arāda</t>
  </si>
  <si>
    <t xml:space="preserve">vouloir, désirer</t>
  </si>
  <si>
    <t xml:space="preserve">ر و د</t>
  </si>
  <si>
    <t xml:space="preserve">raa</t>
  </si>
  <si>
    <t xml:space="preserve">رَأَىٰ</t>
  </si>
  <si>
    <t xml:space="preserve">raʾā</t>
  </si>
  <si>
    <t xml:space="preserve">voir, considérer</t>
  </si>
  <si>
    <t xml:space="preserve">ر أ ي</t>
  </si>
  <si>
    <t xml:space="preserve">samia</t>
  </si>
  <si>
    <t xml:space="preserve">سَمِعَ</t>
  </si>
  <si>
    <t xml:space="preserve">samiʿa</t>
  </si>
  <si>
    <t xml:space="preserve">entendre, écouter</t>
  </si>
  <si>
    <t xml:space="preserve">wajada</t>
  </si>
  <si>
    <t xml:space="preserve">وَجَدَ</t>
  </si>
  <si>
    <t xml:space="preserve">trouver</t>
  </si>
  <si>
    <t xml:space="preserve">و ج د</t>
  </si>
  <si>
    <t xml:space="preserve">akhadha</t>
  </si>
  <si>
    <t xml:space="preserve">أَخَذَ</t>
  </si>
  <si>
    <t xml:space="preserve">prendre, saisir</t>
  </si>
  <si>
    <t xml:space="preserve">أ خ ذ</t>
  </si>
  <si>
    <t xml:space="preserve">akhraja</t>
  </si>
  <si>
    <t xml:space="preserve">أَخْرَجَ</t>
  </si>
  <si>
    <t xml:space="preserve">faire sortir, expulser</t>
  </si>
  <si>
    <t xml:space="preserve">خ ر ج</t>
  </si>
  <si>
    <t xml:space="preserve">dakhala</t>
  </si>
  <si>
    <t xml:space="preserve">دَخَلَ</t>
  </si>
  <si>
    <t xml:space="preserve">entrer</t>
  </si>
  <si>
    <t xml:space="preserve">د خ ل</t>
  </si>
  <si>
    <t xml:space="preserve">nazala</t>
  </si>
  <si>
    <t xml:space="preserve">نَزَلَ</t>
  </si>
  <si>
    <t xml:space="preserve">descendre</t>
  </si>
  <si>
    <t xml:space="preserve">À la forme dérivée « anzala » : faire descendre, révéler.</t>
  </si>
  <si>
    <t xml:space="preserve">ن ز ل</t>
  </si>
  <si>
    <t xml:space="preserve">kataba</t>
  </si>
  <si>
    <t xml:space="preserve">كَتَبَ</t>
  </si>
  <si>
    <t xml:space="preserve">écrire, prescrire</t>
  </si>
  <si>
    <t xml:space="preserve">ك ت ب</t>
  </si>
  <si>
    <t xml:space="preserve">amara</t>
  </si>
  <si>
    <t xml:space="preserve">أَمَرَ</t>
  </si>
  <si>
    <t xml:space="preserve">ordonner, commander</t>
  </si>
  <si>
    <t xml:space="preserve">أ م ر</t>
  </si>
  <si>
    <t xml:space="preserve">baatha</t>
  </si>
  <si>
    <t xml:space="preserve">بَعَثَ</t>
  </si>
  <si>
    <t xml:space="preserve">baʿatha</t>
  </si>
  <si>
    <t xml:space="preserve">envoyer, ressusciter</t>
  </si>
  <si>
    <t xml:space="preserve">ب ع ث</t>
  </si>
  <si>
    <t xml:space="preserve">rajaa</t>
  </si>
  <si>
    <t xml:space="preserve">رَجَعَ</t>
  </si>
  <si>
    <t xml:space="preserve">rajaʿa</t>
  </si>
  <si>
    <t xml:space="preserve">revenir, retourner</t>
  </si>
  <si>
    <t xml:space="preserve">ر ج ع</t>
  </si>
  <si>
    <t xml:space="preserve">daraba</t>
  </si>
  <si>
    <t xml:space="preserve">ضَرَبَ</t>
  </si>
  <si>
    <t xml:space="preserve">ḍaraba</t>
  </si>
  <si>
    <t xml:space="preserve">frapper, proposer (un exemple)</t>
  </si>
  <si>
    <t xml:space="preserve">« ḍaraba mathalan » : proposer une parabole. Sens très différent du sens propre.</t>
  </si>
  <si>
    <t xml:space="preserve">ض ر ب</t>
  </si>
  <si>
    <t xml:space="preserve">nazara</t>
  </si>
  <si>
    <t xml:space="preserve">نَظَرَ</t>
  </si>
  <si>
    <t xml:space="preserve">naẓara</t>
  </si>
  <si>
    <t xml:space="preserve">regarder, observer</t>
  </si>
  <si>
    <t xml:space="preserve">ن ظ ر</t>
  </si>
  <si>
    <t xml:space="preserve">La foi et la mécréance</t>
  </si>
  <si>
    <t xml:space="preserve">amana</t>
  </si>
  <si>
    <t xml:space="preserve">آمَنَ</t>
  </si>
  <si>
    <t xml:space="preserve">āmana</t>
  </si>
  <si>
    <t xml:space="preserve">croire, avoir foi</t>
  </si>
  <si>
    <t xml:space="preserve">Même racine que « amn », la sécurité : croire, c'est se mettre en sécurité.</t>
  </si>
  <si>
    <t xml:space="preserve">أ م ن</t>
  </si>
  <si>
    <t xml:space="preserve">iman</t>
  </si>
  <si>
    <t xml:space="preserve">إِيمَان</t>
  </si>
  <si>
    <t xml:space="preserve">īmān</t>
  </si>
  <si>
    <t xml:space="preserve">la foi</t>
  </si>
  <si>
    <t xml:space="preserve">mumin</t>
  </si>
  <si>
    <t xml:space="preserve">مُؤْمِن</t>
  </si>
  <si>
    <t xml:space="preserve">muʾmin</t>
  </si>
  <si>
    <t xml:space="preserve">croyant</t>
  </si>
  <si>
    <t xml:space="preserve">kafara</t>
  </si>
  <si>
    <t xml:space="preserve">كَفَرَ</t>
  </si>
  <si>
    <t xml:space="preserve">mécroire, renier</t>
  </si>
  <si>
    <t xml:space="preserve">Sens premier de la racine : recouvrir, dissimuler — donc couvrir la vérité.</t>
  </si>
  <si>
    <t xml:space="preserve">ك ف ر</t>
  </si>
  <si>
    <t xml:space="preserve">kafir</t>
  </si>
  <si>
    <t xml:space="preserve">كَافِر</t>
  </si>
  <si>
    <t xml:space="preserve">kāfir</t>
  </si>
  <si>
    <t xml:space="preserve">mécréant, négateur</t>
  </si>
  <si>
    <t xml:space="preserve">ashraka</t>
  </si>
  <si>
    <t xml:space="preserve">أَشْرَكَ</t>
  </si>
  <si>
    <t xml:space="preserve">associer (à Allah)</t>
  </si>
  <si>
    <t xml:space="preserve">ش ر ك</t>
  </si>
  <si>
    <t xml:space="preserve">mushrik</t>
  </si>
  <si>
    <t xml:space="preserve">مُشْرِك</t>
  </si>
  <si>
    <t xml:space="preserve">associateur, polythéiste</t>
  </si>
  <si>
    <t xml:space="preserve">munafiq</t>
  </si>
  <si>
    <t xml:space="preserve">مُنَافِق</t>
  </si>
  <si>
    <t xml:space="preserve">munāfiq</t>
  </si>
  <si>
    <t xml:space="preserve">hypocrite</t>
  </si>
  <si>
    <t xml:space="preserve">ن ف ق</t>
  </si>
  <si>
    <t xml:space="preserve">shahida</t>
  </si>
  <si>
    <t xml:space="preserve">شَهِدَ</t>
  </si>
  <si>
    <t xml:space="preserve">témoigner, attester</t>
  </si>
  <si>
    <t xml:space="preserve">ش ه د</t>
  </si>
  <si>
    <t xml:space="preserve">sadaqa</t>
  </si>
  <si>
    <t xml:space="preserve">صَدَقَ</t>
  </si>
  <si>
    <t xml:space="preserve">ṣadaqa</t>
  </si>
  <si>
    <t xml:space="preserve">dire vrai, être véridique</t>
  </si>
  <si>
    <t xml:space="preserve">ص د ق</t>
  </si>
  <si>
    <t xml:space="preserve">kadhdhaba</t>
  </si>
  <si>
    <t xml:space="preserve">كَذَّبَ</t>
  </si>
  <si>
    <t xml:space="preserve">démentir, traiter de mensonge</t>
  </si>
  <si>
    <t xml:space="preserve">ك ذ ب</t>
  </si>
  <si>
    <t xml:space="preserve">taba</t>
  </si>
  <si>
    <t xml:space="preserve">تَابَ</t>
  </si>
  <si>
    <t xml:space="preserve">tāba</t>
  </si>
  <si>
    <t xml:space="preserve">se repentir, revenir</t>
  </si>
  <si>
    <t xml:space="preserve">istaghfara</t>
  </si>
  <si>
    <t xml:space="preserve">اِسْتَغْفَرَ</t>
  </si>
  <si>
    <t xml:space="preserve">demander pardon</t>
  </si>
  <si>
    <t xml:space="preserve">tawakkala</t>
  </si>
  <si>
    <t xml:space="preserve">تَوَكَّلَ</t>
  </si>
  <si>
    <t xml:space="preserve">s'en remettre (à Allah)</t>
  </si>
  <si>
    <t xml:space="preserve">و ك ل</t>
  </si>
  <si>
    <t xml:space="preserve">khafa</t>
  </si>
  <si>
    <t xml:space="preserve">خَافَ</t>
  </si>
  <si>
    <t xml:space="preserve">khāfa</t>
  </si>
  <si>
    <t xml:space="preserve">craindre, avoir peur</t>
  </si>
  <si>
    <t xml:space="preserve">خ و ف</t>
  </si>
  <si>
    <t xml:space="preserve">khashiya</t>
  </si>
  <si>
    <t xml:space="preserve">خَشِيَ</t>
  </si>
  <si>
    <t xml:space="preserve">redouter (avec révérence)</t>
  </si>
  <si>
    <t xml:space="preserve">Crainte mêlée de respect, réservée surtout à Allah — plus forte que khāfa.</t>
  </si>
  <si>
    <t xml:space="preserve">خ ش ي</t>
  </si>
  <si>
    <t xml:space="preserve">ittaqa</t>
  </si>
  <si>
    <t xml:space="preserve">اِتَّقَىٰ</t>
  </si>
  <si>
    <t xml:space="preserve">ittaqā</t>
  </si>
  <si>
    <t xml:space="preserve">craindre Allah, se prémunir</t>
  </si>
  <si>
    <t xml:space="preserve">و ق ي</t>
  </si>
  <si>
    <t xml:space="preserve">taqwa</t>
  </si>
  <si>
    <t xml:space="preserve">تَقْوَىٰ</t>
  </si>
  <si>
    <t xml:space="preserve">taqwā</t>
  </si>
  <si>
    <t xml:space="preserve">piété, crainte révérencielle</t>
  </si>
  <si>
    <t xml:space="preserve">muttaqin</t>
  </si>
  <si>
    <t xml:space="preserve">مُتَّقِين</t>
  </si>
  <si>
    <t xml:space="preserve">muttaqīn</t>
  </si>
  <si>
    <t xml:space="preserve">les pieux, ceux qui craignent Allah</t>
  </si>
  <si>
    <t xml:space="preserve">Le Livre et la révélation</t>
  </si>
  <si>
    <t xml:space="preserve">kitab</t>
  </si>
  <si>
    <t xml:space="preserve">كِتَاب</t>
  </si>
  <si>
    <t xml:space="preserve">kitāb</t>
  </si>
  <si>
    <t xml:space="preserve">Livre, Écriture</t>
  </si>
  <si>
    <t xml:space="preserve">Désigne le Livre révélé, mais aussi l'écrit et le registre où sont consignés les actes.</t>
  </si>
  <si>
    <t xml:space="preserve">quran</t>
  </si>
  <si>
    <t xml:space="preserve">قُرْآن</t>
  </si>
  <si>
    <t xml:space="preserve">qurʾān</t>
  </si>
  <si>
    <t xml:space="preserve">Coran, récitation</t>
  </si>
  <si>
    <t xml:space="preserve">Littéralement « ce qui est récité », de la racine qaraʾa : lire à voix haute.</t>
  </si>
  <si>
    <t xml:space="preserve">ق ر أ</t>
  </si>
  <si>
    <t xml:space="preserve">aya</t>
  </si>
  <si>
    <t xml:space="preserve">آيَة</t>
  </si>
  <si>
    <t xml:space="preserve">āya</t>
  </si>
  <si>
    <t xml:space="preserve">signe, verset, prodige</t>
  </si>
  <si>
    <t xml:space="preserve">Un même mot pour le verset du Livre et le signe dans la création.</t>
  </si>
  <si>
    <t xml:space="preserve">أ ي ي</t>
  </si>
  <si>
    <t xml:space="preserve">anzala</t>
  </si>
  <si>
    <t xml:space="preserve">أَنْزَلَ</t>
  </si>
  <si>
    <t xml:space="preserve">faire descendre, révéler</t>
  </si>
  <si>
    <t xml:space="preserve">wahy</t>
  </si>
  <si>
    <t xml:space="preserve">وَحْي</t>
  </si>
  <si>
    <t xml:space="preserve">waḥy</t>
  </si>
  <si>
    <t xml:space="preserve">révélation, inspiration</t>
  </si>
  <si>
    <t xml:space="preserve">و ح ي</t>
  </si>
  <si>
    <t xml:space="preserve">dhikr</t>
  </si>
  <si>
    <t xml:space="preserve">ذِكْر</t>
  </si>
  <si>
    <t xml:space="preserve">rappel, évocation</t>
  </si>
  <si>
    <t xml:space="preserve">Le rappel et l'évocation — et l'un des noms que le Coran se donne à lui-même.</t>
  </si>
  <si>
    <t xml:space="preserve">ذ ك ر</t>
  </si>
  <si>
    <t xml:space="preserve">dhakara</t>
  </si>
  <si>
    <t xml:space="preserve">ذَكَرَ</t>
  </si>
  <si>
    <t xml:space="preserve">évoquer, mentionner, se souvenir</t>
  </si>
  <si>
    <t xml:space="preserve">tala</t>
  </si>
  <si>
    <t xml:space="preserve">تَلَا</t>
  </si>
  <si>
    <t xml:space="preserve">talā</t>
  </si>
  <si>
    <t xml:space="preserve">réciter, suivre</t>
  </si>
  <si>
    <t xml:space="preserve">ت ل و</t>
  </si>
  <si>
    <t xml:space="preserve">qaraa</t>
  </si>
  <si>
    <t xml:space="preserve">قَرَأَ</t>
  </si>
  <si>
    <t xml:space="preserve">qaraʾa</t>
  </si>
  <si>
    <t xml:space="preserve">lire, réciter</t>
  </si>
  <si>
    <t xml:space="preserve">hikma</t>
  </si>
  <si>
    <t xml:space="preserve">حِكْمَة</t>
  </si>
  <si>
    <t xml:space="preserve">ḥikma</t>
  </si>
  <si>
    <t xml:space="preserve">sagesse</t>
  </si>
  <si>
    <t xml:space="preserve">bayyina</t>
  </si>
  <si>
    <t xml:space="preserve">بَيِّنَة</t>
  </si>
  <si>
    <t xml:space="preserve">preuve évidente</t>
  </si>
  <si>
    <t xml:space="preserve">bayyana</t>
  </si>
  <si>
    <t xml:space="preserve">بَيَّنَ</t>
  </si>
  <si>
    <t xml:space="preserve">exposer clairement, expliquer</t>
  </si>
  <si>
    <t xml:space="preserve">ilm</t>
  </si>
  <si>
    <t xml:space="preserve">عِلْم</t>
  </si>
  <si>
    <t xml:space="preserve">ʿilm</t>
  </si>
  <si>
    <t xml:space="preserve">science, savoir</t>
  </si>
  <si>
    <t xml:space="preserve">haqq</t>
  </si>
  <si>
    <t xml:space="preserve">حَقّ</t>
  </si>
  <si>
    <t xml:space="preserve">ḥaqq</t>
  </si>
  <si>
    <t xml:space="preserve">vérité, droit, ce qui est dû</t>
  </si>
  <si>
    <t xml:space="preserve">La vérité, mais aussi le droit qui revient à quelqu'un. Al-Ḥaqq est l'un des noms d'Allah.</t>
  </si>
  <si>
    <t xml:space="preserve">ح ق ق</t>
  </si>
  <si>
    <t xml:space="preserve">batil</t>
  </si>
  <si>
    <t xml:space="preserve">بَاطِل</t>
  </si>
  <si>
    <t xml:space="preserve">bāṭil</t>
  </si>
  <si>
    <t xml:space="preserve">faux, vain, sans fondement</t>
  </si>
  <si>
    <t xml:space="preserve">ب ط ل</t>
  </si>
  <si>
    <t xml:space="preserve">tawrat</t>
  </si>
  <si>
    <t xml:space="preserve">تَوْرَاة</t>
  </si>
  <si>
    <t xml:space="preserve">tawrāt</t>
  </si>
  <si>
    <t xml:space="preserve">la Torah</t>
  </si>
  <si>
    <t xml:space="preserve">injil</t>
  </si>
  <si>
    <t xml:space="preserve">إِنْجِيل</t>
  </si>
  <si>
    <t xml:space="preserve">injīl</t>
  </si>
  <si>
    <t xml:space="preserve">l'Évangile</t>
  </si>
  <si>
    <t xml:space="preserve">Pronoms et démonstratifs</t>
  </si>
  <si>
    <t xml:space="preserve">huwa</t>
  </si>
  <si>
    <t xml:space="preserve">هُوَ</t>
  </si>
  <si>
    <t xml:space="preserve">il, lui</t>
  </si>
  <si>
    <t xml:space="preserve">pronom</t>
  </si>
  <si>
    <t xml:space="preserve">hiya</t>
  </si>
  <si>
    <t xml:space="preserve">هِيَ</t>
  </si>
  <si>
    <t xml:space="preserve">elle</t>
  </si>
  <si>
    <t xml:space="preserve">hum</t>
  </si>
  <si>
    <t xml:space="preserve">هُمْ</t>
  </si>
  <si>
    <t xml:space="preserve">ils, eux</t>
  </si>
  <si>
    <t xml:space="preserve">anta</t>
  </si>
  <si>
    <t xml:space="preserve">أَنْتَ</t>
  </si>
  <si>
    <t xml:space="preserve">tu, toi (masculin)</t>
  </si>
  <si>
    <t xml:space="preserve">ana</t>
  </si>
  <si>
    <t xml:space="preserve">أَنَا</t>
  </si>
  <si>
    <t xml:space="preserve">anā</t>
  </si>
  <si>
    <t xml:space="preserve">je, moi</t>
  </si>
  <si>
    <t xml:space="preserve">nahnu</t>
  </si>
  <si>
    <t xml:space="preserve">نَحْنُ</t>
  </si>
  <si>
    <t xml:space="preserve">naḥnu</t>
  </si>
  <si>
    <t xml:space="preserve">nous</t>
  </si>
  <si>
    <t xml:space="preserve">hadha</t>
  </si>
  <si>
    <t xml:space="preserve">هَٰذَا</t>
  </si>
  <si>
    <t xml:space="preserve">hādhā</t>
  </si>
  <si>
    <t xml:space="preserve">ceci, celui-ci</t>
  </si>
  <si>
    <t xml:space="preserve">hadhihi</t>
  </si>
  <si>
    <t xml:space="preserve">هَٰذِهِ</t>
  </si>
  <si>
    <t xml:space="preserve">hādhihi</t>
  </si>
  <si>
    <t xml:space="preserve">celle-ci, cette</t>
  </si>
  <si>
    <t xml:space="preserve">dhalika</t>
  </si>
  <si>
    <t xml:space="preserve">ذَٰلِكَ</t>
  </si>
  <si>
    <t xml:space="preserve">dhālika</t>
  </si>
  <si>
    <t xml:space="preserve">cela, celui-là</t>
  </si>
  <si>
    <t xml:space="preserve">Le démonstratif du lointain : marque la distance ou la solennité.</t>
  </si>
  <si>
    <t xml:space="preserve">tilka</t>
  </si>
  <si>
    <t xml:space="preserve">تِلْكَ</t>
  </si>
  <si>
    <t xml:space="preserve">celle-là, ces</t>
  </si>
  <si>
    <t xml:space="preserve">ulaika</t>
  </si>
  <si>
    <t xml:space="preserve">أُولَٰئِكَ</t>
  </si>
  <si>
    <t xml:space="preserve">ulāʾika</t>
  </si>
  <si>
    <t xml:space="preserve">ceux-là</t>
  </si>
  <si>
    <t xml:space="preserve">Ouvre presque toujours un verdict : « ceux-là sont les bien-guidés ».</t>
  </si>
  <si>
    <t xml:space="preserve">alladhi</t>
  </si>
  <si>
    <t xml:space="preserve">الَّذِي</t>
  </si>
  <si>
    <t xml:space="preserve">alladhī</t>
  </si>
  <si>
    <t xml:space="preserve">celui qui</t>
  </si>
  <si>
    <t xml:space="preserve">alladhina</t>
  </si>
  <si>
    <t xml:space="preserve">الَّذِينَ</t>
  </si>
  <si>
    <t xml:space="preserve">alladhīna</t>
  </si>
  <si>
    <t xml:space="preserve">ceux qui</t>
  </si>
  <si>
    <t xml:space="preserve">allati</t>
  </si>
  <si>
    <t xml:space="preserve">الَّتِي</t>
  </si>
  <si>
    <t xml:space="preserve">allatī</t>
  </si>
  <si>
    <t xml:space="preserve">celle qui</t>
  </si>
  <si>
    <t xml:space="preserve">man</t>
  </si>
  <si>
    <t xml:space="preserve">مَنْ</t>
  </si>
  <si>
    <t xml:space="preserve">qui, celui qui</t>
  </si>
  <si>
    <t xml:space="preserve">Sert à la fois d'interrogatif et de relatif — pour les êtres doués de raison.</t>
  </si>
  <si>
    <t xml:space="preserve">ma</t>
  </si>
  <si>
    <t xml:space="preserve">مَا</t>
  </si>
  <si>
    <t xml:space="preserve">mā</t>
  </si>
  <si>
    <t xml:space="preserve">ce que / ne pas</t>
  </si>
  <si>
    <t xml:space="preserve">Deux emplois distincts : relatif pour les choses, et négation du passé.</t>
  </si>
  <si>
    <t xml:space="preserve">kull</t>
  </si>
  <si>
    <t xml:space="preserve">كُلّ</t>
  </si>
  <si>
    <t xml:space="preserve">chaque, tout, tous</t>
  </si>
  <si>
    <t xml:space="preserve">ك ل ل</t>
  </si>
  <si>
    <t xml:space="preserve">baad</t>
  </si>
  <si>
    <t xml:space="preserve">بَعْض</t>
  </si>
  <si>
    <t xml:space="preserve">baʿḍ</t>
  </si>
  <si>
    <t xml:space="preserve">une partie, certains</t>
  </si>
  <si>
    <t xml:space="preserve">ب ع ض</t>
  </si>
  <si>
    <t xml:space="preserve">L'au-delà : Paradis et Enfer</t>
  </si>
  <si>
    <t xml:space="preserve">akhira</t>
  </si>
  <si>
    <t xml:space="preserve">آخِرَة</t>
  </si>
  <si>
    <t xml:space="preserve">ākhira</t>
  </si>
  <si>
    <t xml:space="preserve">l'au-delà, la vie dernière</t>
  </si>
  <si>
    <t xml:space="preserve">أ خ ر</t>
  </si>
  <si>
    <t xml:space="preserve">dunya</t>
  </si>
  <si>
    <t xml:space="preserve">دُنْيَا</t>
  </si>
  <si>
    <t xml:space="preserve">dunyā</t>
  </si>
  <si>
    <t xml:space="preserve">ici-bas, ce monde</t>
  </si>
  <si>
    <t xml:space="preserve">Littéralement « la plus proche » — la vie immédiate, par opposition à l'ākhira.</t>
  </si>
  <si>
    <t xml:space="preserve">د ن و</t>
  </si>
  <si>
    <t xml:space="preserve">qiyama</t>
  </si>
  <si>
    <t xml:space="preserve">قِيَامَة</t>
  </si>
  <si>
    <t xml:space="preserve">qiyāma</t>
  </si>
  <si>
    <t xml:space="preserve">Résurrection</t>
  </si>
  <si>
    <t xml:space="preserve">saa</t>
  </si>
  <si>
    <t xml:space="preserve">سَاعَة</t>
  </si>
  <si>
    <t xml:space="preserve">sāʿa</t>
  </si>
  <si>
    <t xml:space="preserve">l'Heure</t>
  </si>
  <si>
    <t xml:space="preserve">Employé absolument, désigne l'Heure du Jugement.</t>
  </si>
  <si>
    <t xml:space="preserve">س و ع</t>
  </si>
  <si>
    <t xml:space="preserve">janna</t>
  </si>
  <si>
    <t xml:space="preserve">جَنَّة</t>
  </si>
  <si>
    <t xml:space="preserve">Paradis, jardin</t>
  </si>
  <si>
    <t xml:space="preserve">Racine « jann » : ce qui est couvert, caché — un jardin dense aux arbres serrés.</t>
  </si>
  <si>
    <t xml:space="preserve">ج ن ن</t>
  </si>
  <si>
    <t xml:space="preserve">nar</t>
  </si>
  <si>
    <t xml:space="preserve">نَار</t>
  </si>
  <si>
    <t xml:space="preserve">nār</t>
  </si>
  <si>
    <t xml:space="preserve">Feu, Enfer</t>
  </si>
  <si>
    <t xml:space="preserve">jahannam</t>
  </si>
  <si>
    <t xml:space="preserve">جَهَنَّم</t>
  </si>
  <si>
    <t xml:space="preserve">la Géhenne</t>
  </si>
  <si>
    <t xml:space="preserve">adhab</t>
  </si>
  <si>
    <t xml:space="preserve">عَذَاب</t>
  </si>
  <si>
    <t xml:space="preserve">ʿadhāb</t>
  </si>
  <si>
    <t xml:space="preserve">châtiment, tourment</t>
  </si>
  <si>
    <t xml:space="preserve">Couvre aussi bien la peine de l'au-delà que les épreuves envoyées ici-bas.</t>
  </si>
  <si>
    <t xml:space="preserve">ع ذ ب</t>
  </si>
  <si>
    <t xml:space="preserve">hisab</t>
  </si>
  <si>
    <t xml:space="preserve">حِسَاب</t>
  </si>
  <si>
    <t xml:space="preserve">ḥisāb</t>
  </si>
  <si>
    <t xml:space="preserve">compte, reddition des comptes</t>
  </si>
  <si>
    <t xml:space="preserve">ح س ب</t>
  </si>
  <si>
    <t xml:space="preserve">mawt</t>
  </si>
  <si>
    <t xml:space="preserve">مَوْت</t>
  </si>
  <si>
    <t xml:space="preserve">la mort</t>
  </si>
  <si>
    <t xml:space="preserve">م و ت</t>
  </si>
  <si>
    <t xml:space="preserve">mata</t>
  </si>
  <si>
    <t xml:space="preserve">مَاتَ</t>
  </si>
  <si>
    <t xml:space="preserve">māta</t>
  </si>
  <si>
    <t xml:space="preserve">mourir</t>
  </si>
  <si>
    <t xml:space="preserve">hayat</t>
  </si>
  <si>
    <t xml:space="preserve">حَيَاة</t>
  </si>
  <si>
    <t xml:space="preserve">ḥayāt</t>
  </si>
  <si>
    <t xml:space="preserve">la vie</t>
  </si>
  <si>
    <t xml:space="preserve">ahya</t>
  </si>
  <si>
    <t xml:space="preserve">أَحْيَا</t>
  </si>
  <si>
    <t xml:space="preserve">aḥyā</t>
  </si>
  <si>
    <t xml:space="preserve">faire vivre, redonner vie</t>
  </si>
  <si>
    <t xml:space="preserve">khalid</t>
  </si>
  <si>
    <t xml:space="preserve">خَالِد</t>
  </si>
  <si>
    <t xml:space="preserve">khālid</t>
  </si>
  <si>
    <t xml:space="preserve">éternel, qui demeure à jamais</t>
  </si>
  <si>
    <t xml:space="preserve">خ ل د</t>
  </si>
  <si>
    <t xml:space="preserve">abad</t>
  </si>
  <si>
    <t xml:space="preserve">أَبَدًا</t>
  </si>
  <si>
    <t xml:space="preserve">abadan</t>
  </si>
  <si>
    <t xml:space="preserve">à jamais, éternellement</t>
  </si>
  <si>
    <t xml:space="preserve">أ ب د</t>
  </si>
  <si>
    <t xml:space="preserve">ruh</t>
  </si>
  <si>
    <t xml:space="preserve">رُوح</t>
  </si>
  <si>
    <t xml:space="preserve">rūḥ</t>
  </si>
  <si>
    <t xml:space="preserve">esprit, souffle</t>
  </si>
  <si>
    <t xml:space="preserve">Désigne aussi l'ange Gabriel, « ar-Rūḥ al-Amīn », l'Esprit fidèle.</t>
  </si>
  <si>
    <t xml:space="preserve">ر و ح</t>
  </si>
  <si>
    <t xml:space="preserve">malak</t>
  </si>
  <si>
    <t xml:space="preserve">مَلَك</t>
  </si>
  <si>
    <t xml:space="preserve">ange</t>
  </si>
  <si>
    <t xml:space="preserve">À une lettre près de « malik » (le roi) et « mālik » (le possesseur) : à ne pas confondre en lecture.</t>
  </si>
  <si>
    <t xml:space="preserve">shaytan</t>
  </si>
  <si>
    <t xml:space="preserve">شَيْطَان</t>
  </si>
  <si>
    <t xml:space="preserve">shayṭān</t>
  </si>
  <si>
    <t xml:space="preserve">diable, Satan</t>
  </si>
  <si>
    <t xml:space="preserve">Nom commun avant d'être un nom propre : tout être rebelle, homme ou djinn, peut être ainsi nommé.</t>
  </si>
  <si>
    <t xml:space="preserve">ش ط ن</t>
  </si>
  <si>
    <t xml:space="preserve">iblis</t>
  </si>
  <si>
    <t xml:space="preserve">إِبْلِيس</t>
  </si>
  <si>
    <t xml:space="preserve">iblīs</t>
  </si>
  <si>
    <t xml:space="preserve">Iblîs</t>
  </si>
  <si>
    <t xml:space="preserve">jinn</t>
  </si>
  <si>
    <t xml:space="preserve">جِنّ</t>
  </si>
  <si>
    <t xml:space="preserve">les djinns</t>
  </si>
  <si>
    <t xml:space="preserve">Même racine que « janna » : ce qui est dérobé aux regards.</t>
  </si>
  <si>
    <t xml:space="preserve">ajr</t>
  </si>
  <si>
    <t xml:space="preserve">أَجْر</t>
  </si>
  <si>
    <t xml:space="preserve">récompense, salaire</t>
  </si>
  <si>
    <t xml:space="preserve">Le mot du salaire de l'ouvrier, employé pour la récompense de l'au-delà.</t>
  </si>
  <si>
    <t xml:space="preserve">أ ج ر</t>
  </si>
  <si>
    <t xml:space="preserve">Le ciel, la terre et la création</t>
  </si>
  <si>
    <t xml:space="preserve">sama</t>
  </si>
  <si>
    <t xml:space="preserve">سَمَاء</t>
  </si>
  <si>
    <t xml:space="preserve">samāʾ</t>
  </si>
  <si>
    <t xml:space="preserve">ciel</t>
  </si>
  <si>
    <t xml:space="preserve">ard</t>
  </si>
  <si>
    <t xml:space="preserve">أَرْض</t>
  </si>
  <si>
    <t xml:space="preserve">arḍ</t>
  </si>
  <si>
    <t xml:space="preserve">terre</t>
  </si>
  <si>
    <t xml:space="preserve">أ ر ض</t>
  </si>
  <si>
    <t xml:space="preserve">shams</t>
  </si>
  <si>
    <t xml:space="preserve">شَمْس</t>
  </si>
  <si>
    <t xml:space="preserve">soleil</t>
  </si>
  <si>
    <t xml:space="preserve">ش م س</t>
  </si>
  <si>
    <t xml:space="preserve">qamar</t>
  </si>
  <si>
    <t xml:space="preserve">قَمَر</t>
  </si>
  <si>
    <t xml:space="preserve">lune</t>
  </si>
  <si>
    <t xml:space="preserve">ق م ر</t>
  </si>
  <si>
    <t xml:space="preserve">najm</t>
  </si>
  <si>
    <t xml:space="preserve">نَجْم</t>
  </si>
  <si>
    <t xml:space="preserve">étoile</t>
  </si>
  <si>
    <t xml:space="preserve">ن ج م</t>
  </si>
  <si>
    <t xml:space="preserve">layl</t>
  </si>
  <si>
    <t xml:space="preserve">لَيْل</t>
  </si>
  <si>
    <t xml:space="preserve">nuit</t>
  </si>
  <si>
    <t xml:space="preserve">ل ي ل</t>
  </si>
  <si>
    <t xml:space="preserve">nahar</t>
  </si>
  <si>
    <t xml:space="preserve">نَهَار</t>
  </si>
  <si>
    <t xml:space="preserve">nahār</t>
  </si>
  <si>
    <t xml:space="preserve">jour, clarté du jour</t>
  </si>
  <si>
    <t xml:space="preserve">ن ه ر</t>
  </si>
  <si>
    <t xml:space="preserve">maa-eau</t>
  </si>
  <si>
    <t xml:space="preserve">مَاء</t>
  </si>
  <si>
    <t xml:space="preserve">māʾ</t>
  </si>
  <si>
    <t xml:space="preserve">eau</t>
  </si>
  <si>
    <t xml:space="preserve">م و ه</t>
  </si>
  <si>
    <t xml:space="preserve">rih</t>
  </si>
  <si>
    <t xml:space="preserve">رِيح</t>
  </si>
  <si>
    <t xml:space="preserve">rīḥ</t>
  </si>
  <si>
    <t xml:space="preserve">vent</t>
  </si>
  <si>
    <t xml:space="preserve">sahab</t>
  </si>
  <si>
    <t xml:space="preserve">سَحَاب</t>
  </si>
  <si>
    <t xml:space="preserve">saḥāb</t>
  </si>
  <si>
    <t xml:space="preserve">nuage</t>
  </si>
  <si>
    <t xml:space="preserve">س ح ب</t>
  </si>
  <si>
    <t xml:space="preserve">jabal</t>
  </si>
  <si>
    <t xml:space="preserve">جَبَل</t>
  </si>
  <si>
    <t xml:space="preserve">montagne</t>
  </si>
  <si>
    <t xml:space="preserve">ج ب ل</t>
  </si>
  <si>
    <t xml:space="preserve">bahr</t>
  </si>
  <si>
    <t xml:space="preserve">بَحْر</t>
  </si>
  <si>
    <t xml:space="preserve">baḥr</t>
  </si>
  <si>
    <t xml:space="preserve">mer</t>
  </si>
  <si>
    <t xml:space="preserve">ب ح ر</t>
  </si>
  <si>
    <t xml:space="preserve">nahr</t>
  </si>
  <si>
    <t xml:space="preserve">نَهْر</t>
  </si>
  <si>
    <t xml:space="preserve">fleuve, rivière</t>
  </si>
  <si>
    <t xml:space="preserve">Le pluriel « anhār » apparaît dans la formule « des rivières coulent en dessous ».</t>
  </si>
  <si>
    <t xml:space="preserve">shajar</t>
  </si>
  <si>
    <t xml:space="preserve">شَجَر</t>
  </si>
  <si>
    <t xml:space="preserve">arbre</t>
  </si>
  <si>
    <t xml:space="preserve">ش ج ر</t>
  </si>
  <si>
    <t xml:space="preserve">thamar</t>
  </si>
  <si>
    <t xml:space="preserve">ثَمَر</t>
  </si>
  <si>
    <t xml:space="preserve">fruit</t>
  </si>
  <si>
    <t xml:space="preserve">ث م ر</t>
  </si>
  <si>
    <t xml:space="preserve">dabba</t>
  </si>
  <si>
    <t xml:space="preserve">دَابَّة</t>
  </si>
  <si>
    <t xml:space="preserve">dābba</t>
  </si>
  <si>
    <t xml:space="preserve">bête, créature qui se meut</t>
  </si>
  <si>
    <t xml:space="preserve">د ب ب</t>
  </si>
  <si>
    <t xml:space="preserve">tayr</t>
  </si>
  <si>
    <t xml:space="preserve">طَيْر</t>
  </si>
  <si>
    <t xml:space="preserve">ṭayr</t>
  </si>
  <si>
    <t xml:space="preserve">oiseau</t>
  </si>
  <si>
    <t xml:space="preserve">ط ي ر</t>
  </si>
  <si>
    <t xml:space="preserve">khalq</t>
  </si>
  <si>
    <t xml:space="preserve">خَلْق</t>
  </si>
  <si>
    <t xml:space="preserve">création, créatures</t>
  </si>
  <si>
    <t xml:space="preserve">nafs</t>
  </si>
  <si>
    <t xml:space="preserve">نَفْس</t>
  </si>
  <si>
    <t xml:space="preserve">âme, personne, soi-même</t>
  </si>
  <si>
    <t xml:space="preserve">Souvent réfléchi : « ils se font du tort à eux-mêmes » (anfusahum).</t>
  </si>
  <si>
    <t xml:space="preserve">ن ف س</t>
  </si>
  <si>
    <t xml:space="preserve">turab</t>
  </si>
  <si>
    <t xml:space="preserve">تُرَاب</t>
  </si>
  <si>
    <t xml:space="preserve">turāb</t>
  </si>
  <si>
    <t xml:space="preserve">poussière, terre</t>
  </si>
  <si>
    <t xml:space="preserve">ت ر ب</t>
  </si>
  <si>
    <t xml:space="preserve">Négations, conditions et liaisons</t>
  </si>
  <si>
    <t xml:space="preserve">thumma</t>
  </si>
  <si>
    <t xml:space="preserve">ثُمَّ</t>
  </si>
  <si>
    <t xml:space="preserve">puis, ensuite</t>
  </si>
  <si>
    <t xml:space="preserve">Succession avec délai, contrairement à « fa » qui enchaîne immédiatement.</t>
  </si>
  <si>
    <t xml:space="preserve">aw</t>
  </si>
  <si>
    <t xml:space="preserve">أَوْ</t>
  </si>
  <si>
    <t xml:space="preserve">ou</t>
  </si>
  <si>
    <t xml:space="preserve">lakin</t>
  </si>
  <si>
    <t xml:space="preserve">لَٰكِنْ</t>
  </si>
  <si>
    <t xml:space="preserve">lākin</t>
  </si>
  <si>
    <t xml:space="preserve">mais, cependant</t>
  </si>
  <si>
    <t xml:space="preserve">bal</t>
  </si>
  <si>
    <t xml:space="preserve">بَلْ</t>
  </si>
  <si>
    <t xml:space="preserve">au contraire, bien plutôt</t>
  </si>
  <si>
    <t xml:space="preserve">la-negation</t>
  </si>
  <si>
    <t xml:space="preserve">لَا</t>
  </si>
  <si>
    <t xml:space="preserve">lā</t>
  </si>
  <si>
    <t xml:space="preserve">non, ne pas</t>
  </si>
  <si>
    <t xml:space="preserve">lam</t>
  </si>
  <si>
    <t xml:space="preserve">لَمْ</t>
  </si>
  <si>
    <t xml:space="preserve">ne pas (au passé)</t>
  </si>
  <si>
    <t xml:space="preserve">Suivi de l'inaccompli, mais nie le passé : « lam yalid » — Il n'a pas engendré.</t>
  </si>
  <si>
    <t xml:space="preserve">lan</t>
  </si>
  <si>
    <t xml:space="preserve">لَنْ</t>
  </si>
  <si>
    <t xml:space="preserve">ne jamais (futur)</t>
  </si>
  <si>
    <t xml:space="preserve">laysa</t>
  </si>
  <si>
    <t xml:space="preserve">لَيْسَ</t>
  </si>
  <si>
    <t xml:space="preserve">ne pas être</t>
  </si>
  <si>
    <t xml:space="preserve">ghayr</t>
  </si>
  <si>
    <t xml:space="preserve">غَيْر</t>
  </si>
  <si>
    <t xml:space="preserve">autre que, sans</t>
  </si>
  <si>
    <t xml:space="preserve">غ ي ر</t>
  </si>
  <si>
    <t xml:space="preserve">in-condition</t>
  </si>
  <si>
    <t xml:space="preserve">إِنْ</t>
  </si>
  <si>
    <t xml:space="preserve">in</t>
  </si>
  <si>
    <t xml:space="preserve">si (condition réelle)</t>
  </si>
  <si>
    <t xml:space="preserve">idha</t>
  </si>
  <si>
    <t xml:space="preserve">إِذَا</t>
  </si>
  <si>
    <t xml:space="preserve">idhā</t>
  </si>
  <si>
    <t xml:space="preserve">lorsque, quand</t>
  </si>
  <si>
    <t xml:space="preserve">idh</t>
  </si>
  <si>
    <t xml:space="preserve">إِذْ</t>
  </si>
  <si>
    <t xml:space="preserve">lorsque (dans le passé)</t>
  </si>
  <si>
    <t xml:space="preserve">Ouvre les récits : « wa idh qāla rabbuka » — et lorsque ton Seigneur dit.</t>
  </si>
  <si>
    <t xml:space="preserve">law</t>
  </si>
  <si>
    <t xml:space="preserve">لَوْ</t>
  </si>
  <si>
    <t xml:space="preserve">si (hypothèse irréelle)</t>
  </si>
  <si>
    <t xml:space="preserve">inna</t>
  </si>
  <si>
    <t xml:space="preserve">إِنَّ</t>
  </si>
  <si>
    <t xml:space="preserve">certes, en vérité</t>
  </si>
  <si>
    <t xml:space="preserve">anna</t>
  </si>
  <si>
    <t xml:space="preserve">أَنَّ</t>
  </si>
  <si>
    <t xml:space="preserve">que (conjonction)</t>
  </si>
  <si>
    <t xml:space="preserve">qad</t>
  </si>
  <si>
    <t xml:space="preserve">قَدْ</t>
  </si>
  <si>
    <t xml:space="preserve">certes, déjà</t>
  </si>
  <si>
    <t xml:space="preserve">kayfa</t>
  </si>
  <si>
    <t xml:space="preserve">كَيْفَ</t>
  </si>
  <si>
    <t xml:space="preserve">comment</t>
  </si>
  <si>
    <t xml:space="preserve">ayna</t>
  </si>
  <si>
    <t xml:space="preserve">أَيْنَ</t>
  </si>
  <si>
    <t xml:space="preserve">où</t>
  </si>
  <si>
    <t xml:space="preserve">amma</t>
  </si>
  <si>
    <t xml:space="preserve">أَمَّا</t>
  </si>
  <si>
    <t xml:space="preserve">ammā</t>
  </si>
  <si>
    <t xml:space="preserve">quant à</t>
  </si>
  <si>
    <t xml:space="preserve">L'homme : corps et âme</t>
  </si>
  <si>
    <t xml:space="preserve">insan</t>
  </si>
  <si>
    <t xml:space="preserve">إِنْسَان</t>
  </si>
  <si>
    <t xml:space="preserve">insān</t>
  </si>
  <si>
    <t xml:space="preserve">l'être humain</t>
  </si>
  <si>
    <t xml:space="preserve">L'homme dans sa nature, souvent accompagné d'un reproche : pressé, oublieux, ingrat.</t>
  </si>
  <si>
    <t xml:space="preserve">أ ن س</t>
  </si>
  <si>
    <t xml:space="preserve">nas</t>
  </si>
  <si>
    <t xml:space="preserve">نَاس</t>
  </si>
  <si>
    <t xml:space="preserve">nās</t>
  </si>
  <si>
    <t xml:space="preserve">les gens, les hommes</t>
  </si>
  <si>
    <t xml:space="preserve">Pluriel collectif sans singulier : les gens pris en masse, l'humanité.</t>
  </si>
  <si>
    <t xml:space="preserve">ن و س</t>
  </si>
  <si>
    <t xml:space="preserve">qalb</t>
  </si>
  <si>
    <t xml:space="preserve">قَلْب</t>
  </si>
  <si>
    <t xml:space="preserve">cœur</t>
  </si>
  <si>
    <t xml:space="preserve">Racine « qalaba » : retourner — le cœur est ce qui se retourne, change d'état.</t>
  </si>
  <si>
    <t xml:space="preserve">ق ل ب</t>
  </si>
  <si>
    <t xml:space="preserve">sadr</t>
  </si>
  <si>
    <t xml:space="preserve">صَدْر</t>
  </si>
  <si>
    <t xml:space="preserve">ṣadr</t>
  </si>
  <si>
    <t xml:space="preserve">poitrine, for intérieur</t>
  </si>
  <si>
    <t xml:space="preserve">ص د ر</t>
  </si>
  <si>
    <t xml:space="preserve">ayn</t>
  </si>
  <si>
    <t xml:space="preserve">عَيْن</t>
  </si>
  <si>
    <t xml:space="preserve">ʿayn</t>
  </si>
  <si>
    <t xml:space="preserve">œil, source d'eau</t>
  </si>
  <si>
    <t xml:space="preserve">ع ي ن</t>
  </si>
  <si>
    <t xml:space="preserve">yad</t>
  </si>
  <si>
    <t xml:space="preserve">يَد</t>
  </si>
  <si>
    <t xml:space="preserve">main</t>
  </si>
  <si>
    <t xml:space="preserve">ي د ي</t>
  </si>
  <si>
    <t xml:space="preserve">wajh</t>
  </si>
  <si>
    <t xml:space="preserve">وَجْه</t>
  </si>
  <si>
    <t xml:space="preserve">visage, face</t>
  </si>
  <si>
    <t xml:space="preserve">« Wajh Allah » : la Face d'Allah, c'est-à-dire Son agrément.</t>
  </si>
  <si>
    <t xml:space="preserve">و ج ه</t>
  </si>
  <si>
    <t xml:space="preserve">lisan</t>
  </si>
  <si>
    <t xml:space="preserve">لِسَان</t>
  </si>
  <si>
    <t xml:space="preserve">lisān</t>
  </si>
  <si>
    <t xml:space="preserve">langue, langage</t>
  </si>
  <si>
    <t xml:space="preserve">ل س ن</t>
  </si>
  <si>
    <t xml:space="preserve">udhun</t>
  </si>
  <si>
    <t xml:space="preserve">أُذُن</t>
  </si>
  <si>
    <t xml:space="preserve">oreille</t>
  </si>
  <si>
    <t xml:space="preserve">أ ذ ن</t>
  </si>
  <si>
    <t xml:space="preserve">ras</t>
  </si>
  <si>
    <t xml:space="preserve">رَأْس</t>
  </si>
  <si>
    <t xml:space="preserve">raʾs</t>
  </si>
  <si>
    <t xml:space="preserve">tête</t>
  </si>
  <si>
    <t xml:space="preserve">ر أ س</t>
  </si>
  <si>
    <t xml:space="preserve">rijl</t>
  </si>
  <si>
    <t xml:space="preserve">رِجْل</t>
  </si>
  <si>
    <t xml:space="preserve">pied, jambe</t>
  </si>
  <si>
    <t xml:space="preserve">ر ج ل</t>
  </si>
  <si>
    <t xml:space="preserve">jild</t>
  </si>
  <si>
    <t xml:space="preserve">جِلْد</t>
  </si>
  <si>
    <t xml:space="preserve">peau</t>
  </si>
  <si>
    <t xml:space="preserve">ج ل د</t>
  </si>
  <si>
    <t xml:space="preserve">dam</t>
  </si>
  <si>
    <t xml:space="preserve">دَم</t>
  </si>
  <si>
    <t xml:space="preserve">sang</t>
  </si>
  <si>
    <t xml:space="preserve">د م و</t>
  </si>
  <si>
    <t xml:space="preserve">aqala</t>
  </si>
  <si>
    <t xml:space="preserve">عَقَلَ</t>
  </si>
  <si>
    <t xml:space="preserve">ʿaqala</t>
  </si>
  <si>
    <t xml:space="preserve">raisonner, comprendre</t>
  </si>
  <si>
    <t xml:space="preserve">Presque toujours à l'inaccompli pluriel : « afalā taʿqilūn » — ne raisonnez-vous donc pas ?</t>
  </si>
  <si>
    <t xml:space="preserve">ع ق ل</t>
  </si>
  <si>
    <t xml:space="preserve">faqiha</t>
  </si>
  <si>
    <t xml:space="preserve">فَقِهَ</t>
  </si>
  <si>
    <t xml:space="preserve">comprendre en profondeur</t>
  </si>
  <si>
    <t xml:space="preserve">ف ق ه</t>
  </si>
  <si>
    <t xml:space="preserve">dhaqa</t>
  </si>
  <si>
    <t xml:space="preserve">ذَاقَ</t>
  </si>
  <si>
    <t xml:space="preserve">dhāqa</t>
  </si>
  <si>
    <t xml:space="preserve">goûter, éprouver</t>
  </si>
  <si>
    <t xml:space="preserve">ذ و ق</t>
  </si>
  <si>
    <t xml:space="preserve">Le bien, le mal et la piété</t>
  </si>
  <si>
    <t xml:space="preserve">khayr</t>
  </si>
  <si>
    <t xml:space="preserve">خَيْر</t>
  </si>
  <si>
    <t xml:space="preserve">bien, meilleur</t>
  </si>
  <si>
    <t xml:space="preserve">Sert aussi de comparatif : « khayrun min » — meilleur que.</t>
  </si>
  <si>
    <t xml:space="preserve">خ ي ر</t>
  </si>
  <si>
    <t xml:space="preserve">sharr</t>
  </si>
  <si>
    <t xml:space="preserve">شَرّ</t>
  </si>
  <si>
    <t xml:space="preserve">mal, pire</t>
  </si>
  <si>
    <t xml:space="preserve">ش ر ر</t>
  </si>
  <si>
    <t xml:space="preserve">salih</t>
  </si>
  <si>
    <t xml:space="preserve">صَالِح</t>
  </si>
  <si>
    <t xml:space="preserve">ṣāliḥ</t>
  </si>
  <si>
    <t xml:space="preserve">bon, vertueux, pieux</t>
  </si>
  <si>
    <t xml:space="preserve">« ʿamila ṣāliḥan » : accomplir une bonne œuvre — formule récurrente.</t>
  </si>
  <si>
    <t xml:space="preserve">ص ل ح</t>
  </si>
  <si>
    <t xml:space="preserve">hasana</t>
  </si>
  <si>
    <t xml:space="preserve">حَسَنَة</t>
  </si>
  <si>
    <t xml:space="preserve">ḥasana</t>
  </si>
  <si>
    <t xml:space="preserve">bonne action, bienfait</t>
  </si>
  <si>
    <t xml:space="preserve">ح س ن</t>
  </si>
  <si>
    <t xml:space="preserve">sayyia</t>
  </si>
  <si>
    <t xml:space="preserve">سَيِّئَة</t>
  </si>
  <si>
    <t xml:space="preserve">sayyiʾa</t>
  </si>
  <si>
    <t xml:space="preserve">mauvaise action, méfait</t>
  </si>
  <si>
    <t xml:space="preserve">س و أ</t>
  </si>
  <si>
    <t xml:space="preserve">zalama</t>
  </si>
  <si>
    <t xml:space="preserve">ظَلَمَ</t>
  </si>
  <si>
    <t xml:space="preserve">ẓalama</t>
  </si>
  <si>
    <t xml:space="preserve">être injuste, opprimer</t>
  </si>
  <si>
    <t xml:space="preserve">Sens premier : mettre une chose hors de sa place — d'où l'injustice.</t>
  </si>
  <si>
    <t xml:space="preserve">ظ ل م</t>
  </si>
  <si>
    <t xml:space="preserve">zalim</t>
  </si>
  <si>
    <t xml:space="preserve">ظَالِم</t>
  </si>
  <si>
    <t xml:space="preserve">ẓālim</t>
  </si>
  <si>
    <t xml:space="preserve">injuste, oppresseur</t>
  </si>
  <si>
    <t xml:space="preserve">zulm</t>
  </si>
  <si>
    <t xml:space="preserve">ظُلْم</t>
  </si>
  <si>
    <t xml:space="preserve">ẓulm</t>
  </si>
  <si>
    <t xml:space="preserve">injustice</t>
  </si>
  <si>
    <t xml:space="preserve">fasad</t>
  </si>
  <si>
    <t xml:space="preserve">فَسَاد</t>
  </si>
  <si>
    <t xml:space="preserve">fasād</t>
  </si>
  <si>
    <t xml:space="preserve">corruption, désordre</t>
  </si>
  <si>
    <t xml:space="preserve">ف س د</t>
  </si>
  <si>
    <t xml:space="preserve">ithm</t>
  </si>
  <si>
    <t xml:space="preserve">إِثْم</t>
  </si>
  <si>
    <t xml:space="preserve">péché</t>
  </si>
  <si>
    <t xml:space="preserve">أ ث م</t>
  </si>
  <si>
    <t xml:space="preserve">dhanb</t>
  </si>
  <si>
    <t xml:space="preserve">ذَنْب</t>
  </si>
  <si>
    <t xml:space="preserve">péché, faute</t>
  </si>
  <si>
    <t xml:space="preserve">ذ ن ب</t>
  </si>
  <si>
    <t xml:space="preserve">afa</t>
  </si>
  <si>
    <t xml:space="preserve">عَفَا</t>
  </si>
  <si>
    <t xml:space="preserve">ʿafā</t>
  </si>
  <si>
    <t xml:space="preserve">pardonner, effacer</t>
  </si>
  <si>
    <t xml:space="preserve">ع ف و</t>
  </si>
  <si>
    <t xml:space="preserve">ghafara</t>
  </si>
  <si>
    <t xml:space="preserve">غَفَرَ</t>
  </si>
  <si>
    <t xml:space="preserve">pardonner, couvrir la faute</t>
  </si>
  <si>
    <t xml:space="preserve">rahima</t>
  </si>
  <si>
    <t xml:space="preserve">رَحِمَ</t>
  </si>
  <si>
    <t xml:space="preserve">raḥima</t>
  </si>
  <si>
    <t xml:space="preserve">faire miséricorde</t>
  </si>
  <si>
    <t xml:space="preserve">sabara</t>
  </si>
  <si>
    <t xml:space="preserve">صَبَرَ</t>
  </si>
  <si>
    <t xml:space="preserve">ṣabara</t>
  </si>
  <si>
    <t xml:space="preserve">être patient, endurer</t>
  </si>
  <si>
    <t xml:space="preserve">ص ب ر</t>
  </si>
  <si>
    <t xml:space="preserve">sabr</t>
  </si>
  <si>
    <t xml:space="preserve">صَبْر</t>
  </si>
  <si>
    <t xml:space="preserve">ṣabr</t>
  </si>
  <si>
    <t xml:space="preserve">patience, endurance</t>
  </si>
  <si>
    <t xml:space="preserve">shakara</t>
  </si>
  <si>
    <t xml:space="preserve">شَكَرَ</t>
  </si>
  <si>
    <t xml:space="preserve">être reconnaissant, remercier</t>
  </si>
  <si>
    <t xml:space="preserve">istakbara</t>
  </si>
  <si>
    <t xml:space="preserve">اِسْتَكْبَرَ</t>
  </si>
  <si>
    <t xml:space="preserve">s'enfler d'orgueil, se montrer hautain</t>
  </si>
  <si>
    <t xml:space="preserve">ك ب ر</t>
  </si>
  <si>
    <t xml:space="preserve">ahabba</t>
  </si>
  <si>
    <t xml:space="preserve">أَحَبَّ</t>
  </si>
  <si>
    <t xml:space="preserve">aḥabba</t>
  </si>
  <si>
    <t xml:space="preserve">aimer</t>
  </si>
  <si>
    <t xml:space="preserve">ح ب ب</t>
  </si>
  <si>
    <t xml:space="preserve">kariha</t>
  </si>
  <si>
    <t xml:space="preserve">كَرِهَ</t>
  </si>
  <si>
    <t xml:space="preserve">détester, répugner</t>
  </si>
  <si>
    <t xml:space="preserve">ك ر ه</t>
  </si>
  <si>
    <t xml:space="preserve">adl</t>
  </si>
  <si>
    <t xml:space="preserve">عَدْل</t>
  </si>
  <si>
    <t xml:space="preserve">ʿadl</t>
  </si>
  <si>
    <t xml:space="preserve">justice, équité</t>
  </si>
  <si>
    <t xml:space="preserve">ع د ل</t>
  </si>
  <si>
    <t xml:space="preserve">Les prophètes et les peuples</t>
  </si>
  <si>
    <t xml:space="preserve">rasul</t>
  </si>
  <si>
    <t xml:space="preserve">رَسُول</t>
  </si>
  <si>
    <t xml:space="preserve">rasūl</t>
  </si>
  <si>
    <t xml:space="preserve">messager, envoyé</t>
  </si>
  <si>
    <t xml:space="preserve">Un rasūl apporte une Loi nouvelle, un nabī prêche celle du messager qui l'a précédé : tout messager est prophète, l'inverse est faux.</t>
  </si>
  <si>
    <t xml:space="preserve">ر س ل</t>
  </si>
  <si>
    <t xml:space="preserve">nabi</t>
  </si>
  <si>
    <t xml:space="preserve">نَبِيّ</t>
  </si>
  <si>
    <t xml:space="preserve">nabī</t>
  </si>
  <si>
    <t xml:space="preserve">prophète</t>
  </si>
  <si>
    <t xml:space="preserve">De la racine « nabaʾ », la nouvelle : le prophète est celui qui transmet une annonce.</t>
  </si>
  <si>
    <t xml:space="preserve">ن ب أ</t>
  </si>
  <si>
    <t xml:space="preserve">arsala</t>
  </si>
  <si>
    <t xml:space="preserve">أَرْسَلَ</t>
  </si>
  <si>
    <t xml:space="preserve">envoyer</t>
  </si>
  <si>
    <t xml:space="preserve">qawm</t>
  </si>
  <si>
    <t xml:space="preserve">قَوْم</t>
  </si>
  <si>
    <t xml:space="preserve">peuple, gens</t>
  </si>
  <si>
    <t xml:space="preserve">Désigne un groupe uni par le lien tribal ou l'appartenance à un prophète.</t>
  </si>
  <si>
    <t xml:space="preserve">umma</t>
  </si>
  <si>
    <t xml:space="preserve">أُمَّة</t>
  </si>
  <si>
    <t xml:space="preserve">communauté, nation</t>
  </si>
  <si>
    <t xml:space="preserve">Un groupe uni par une même croyance ou une même destinée — jamais par le sang.</t>
  </si>
  <si>
    <t xml:space="preserve">أ م م</t>
  </si>
  <si>
    <t xml:space="preserve">ahl</t>
  </si>
  <si>
    <t xml:space="preserve">أَهْل</t>
  </si>
  <si>
    <t xml:space="preserve">les gens de, la famille de</t>
  </si>
  <si>
    <t xml:space="preserve">« ahl al-kitāb » : les gens du Livre.</t>
  </si>
  <si>
    <t xml:space="preserve">أ ه ل</t>
  </si>
  <si>
    <t xml:space="preserve">adam</t>
  </si>
  <si>
    <t xml:space="preserve">آدَم</t>
  </si>
  <si>
    <t xml:space="preserve">Ādam</t>
  </si>
  <si>
    <t xml:space="preserve">Adam</t>
  </si>
  <si>
    <t xml:space="preserve">nuh</t>
  </si>
  <si>
    <t xml:space="preserve">نُوح</t>
  </si>
  <si>
    <t xml:space="preserve">Nūḥ</t>
  </si>
  <si>
    <t xml:space="preserve">Noé</t>
  </si>
  <si>
    <t xml:space="preserve">ibrahim</t>
  </si>
  <si>
    <t xml:space="preserve">إِبْرَاهِيم</t>
  </si>
  <si>
    <t xml:space="preserve">Ibrāhīm</t>
  </si>
  <si>
    <t xml:space="preserve">Abraham</t>
  </si>
  <si>
    <t xml:space="preserve">musa</t>
  </si>
  <si>
    <t xml:space="preserve">مُوسَىٰ</t>
  </si>
  <si>
    <t xml:space="preserve">Mūsā</t>
  </si>
  <si>
    <t xml:space="preserve">Moïse</t>
  </si>
  <si>
    <t xml:space="preserve">Le prophète le plus cité du Coran.</t>
  </si>
  <si>
    <t xml:space="preserve">isa</t>
  </si>
  <si>
    <t xml:space="preserve">عِيسَىٰ</t>
  </si>
  <si>
    <t xml:space="preserve">ʿĪsā</t>
  </si>
  <si>
    <t xml:space="preserve">Jésus</t>
  </si>
  <si>
    <t xml:space="preserve">muhammad</t>
  </si>
  <si>
    <t xml:space="preserve">مُحَمَّد</t>
  </si>
  <si>
    <t xml:space="preserve">Muḥammad</t>
  </si>
  <si>
    <t xml:space="preserve">Muhammad</t>
  </si>
  <si>
    <t xml:space="preserve">Nommé quatre fois seulement, le plus souvent désigné par « le Messager ».</t>
  </si>
  <si>
    <t xml:space="preserve">maryam</t>
  </si>
  <si>
    <t xml:space="preserve">مَرْيَم</t>
  </si>
  <si>
    <t xml:space="preserve">Maryam</t>
  </si>
  <si>
    <t xml:space="preserve">Marie</t>
  </si>
  <si>
    <t xml:space="preserve">Seule femme nommée dans le Coran.</t>
  </si>
  <si>
    <t xml:space="preserve">firawn</t>
  </si>
  <si>
    <t xml:space="preserve">فِرْعَوْن</t>
  </si>
  <si>
    <t xml:space="preserve">Firʿawn</t>
  </si>
  <si>
    <t xml:space="preserve">Pharaon</t>
  </si>
  <si>
    <t xml:space="preserve">bani-israil</t>
  </si>
  <si>
    <t xml:space="preserve">إِسْرَائِيل</t>
  </si>
  <si>
    <t xml:space="preserve">Isrāʾīl</t>
  </si>
  <si>
    <t xml:space="preserve">Israël</t>
  </si>
  <si>
    <t xml:space="preserve">Presque toujours dans « banū Isrāʾīl » : les Enfants d'Israël.</t>
  </si>
  <si>
    <t xml:space="preserve">yahud</t>
  </si>
  <si>
    <t xml:space="preserve">يَهُود</t>
  </si>
  <si>
    <t xml:space="preserve">yahūd</t>
  </si>
  <si>
    <t xml:space="preserve">les Juifs</t>
  </si>
  <si>
    <t xml:space="preserve">ه و د</t>
  </si>
  <si>
    <t xml:space="preserve">nasara</t>
  </si>
  <si>
    <t xml:space="preserve">نَصَارَىٰ</t>
  </si>
  <si>
    <t xml:space="preserve">naṣārā</t>
  </si>
  <si>
    <t xml:space="preserve">les Chrétiens</t>
  </si>
  <si>
    <t xml:space="preserve">ن ص ر</t>
  </si>
  <si>
    <t xml:space="preserve">L'adoration : prière et rites</t>
  </si>
  <si>
    <t xml:space="preserve">salat</t>
  </si>
  <si>
    <t xml:space="preserve">صَلَاة</t>
  </si>
  <si>
    <t xml:space="preserve">ṣalāt</t>
  </si>
  <si>
    <t xml:space="preserve">prière</t>
  </si>
  <si>
    <t xml:space="preserve">La prière rituelle, mais aussi la bénédiction : « Allah et Ses anges prient sur le Prophète ».</t>
  </si>
  <si>
    <t xml:space="preserve">ص ل و</t>
  </si>
  <si>
    <t xml:space="preserve">aqama</t>
  </si>
  <si>
    <t xml:space="preserve">أَقَامَ</t>
  </si>
  <si>
    <t xml:space="preserve">aqāma</t>
  </si>
  <si>
    <t xml:space="preserve">accomplir, établir</t>
  </si>
  <si>
    <t xml:space="preserve">« aqāma aṣ-ṣalāt » : accomplir la prière — littéralement la maintenir droite.</t>
  </si>
  <si>
    <t xml:space="preserve">zakat</t>
  </si>
  <si>
    <t xml:space="preserve">زَكَاة</t>
  </si>
  <si>
    <t xml:space="preserve">zakāt</t>
  </si>
  <si>
    <t xml:space="preserve">aumône légale</t>
  </si>
  <si>
    <t xml:space="preserve">Racine « zakā » : purifier et faire croître.</t>
  </si>
  <si>
    <t xml:space="preserve">ز ك و</t>
  </si>
  <si>
    <t xml:space="preserve">siyam</t>
  </si>
  <si>
    <t xml:space="preserve">صِيَام</t>
  </si>
  <si>
    <t xml:space="preserve">ṣiyām</t>
  </si>
  <si>
    <t xml:space="preserve">jeûne</t>
  </si>
  <si>
    <t xml:space="preserve">Sens premier de la racine : s'abstenir, se retenir — pas seulement de nourriture.</t>
  </si>
  <si>
    <t xml:space="preserve">ص و م</t>
  </si>
  <si>
    <t xml:space="preserve">hajj</t>
  </si>
  <si>
    <t xml:space="preserve">حَجّ</t>
  </si>
  <si>
    <t xml:space="preserve">ḥajj</t>
  </si>
  <si>
    <t xml:space="preserve">pèlerinage</t>
  </si>
  <si>
    <t xml:space="preserve">Sens premier de la racine : se rendre quelque part avec une intention arrêtée.</t>
  </si>
  <si>
    <t xml:space="preserve">ح ج ج</t>
  </si>
  <si>
    <t xml:space="preserve">sajada</t>
  </si>
  <si>
    <t xml:space="preserve">سَجَدَ</t>
  </si>
  <si>
    <t xml:space="preserve">se prosterner</t>
  </si>
  <si>
    <t xml:space="preserve">س ج د</t>
  </si>
  <si>
    <t xml:space="preserve">rakaa</t>
  </si>
  <si>
    <t xml:space="preserve">رَكَعَ</t>
  </si>
  <si>
    <t xml:space="preserve">rakaʿa</t>
  </si>
  <si>
    <t xml:space="preserve">s'incliner</t>
  </si>
  <si>
    <t xml:space="preserve">ر ك ع</t>
  </si>
  <si>
    <t xml:space="preserve">masjid</t>
  </si>
  <si>
    <t xml:space="preserve">مَسْجِد</t>
  </si>
  <si>
    <t xml:space="preserve">mosquée, lieu de prosternation</t>
  </si>
  <si>
    <t xml:space="preserve">daa</t>
  </si>
  <si>
    <t xml:space="preserve">دَعَا</t>
  </si>
  <si>
    <t xml:space="preserve">daʿā</t>
  </si>
  <si>
    <t xml:space="preserve">invoquer, appeler</t>
  </si>
  <si>
    <t xml:space="preserve">د ع و</t>
  </si>
  <si>
    <t xml:space="preserve">dua</t>
  </si>
  <si>
    <t xml:space="preserve">دُعَاء</t>
  </si>
  <si>
    <t xml:space="preserve">duʿāʾ</t>
  </si>
  <si>
    <t xml:space="preserve">invocation, appel</t>
  </si>
  <si>
    <t xml:space="preserve">sabbaha</t>
  </si>
  <si>
    <t xml:space="preserve">سَبَّحَ</t>
  </si>
  <si>
    <t xml:space="preserve">sabbaḥa</t>
  </si>
  <si>
    <t xml:space="preserve">glorifier, exalter</t>
  </si>
  <si>
    <t xml:space="preserve">Déclarer Allah exempt de tout défaut — d'où l'exclamation « subḥāna-llāh ».</t>
  </si>
  <si>
    <t xml:space="preserve">س ب ح</t>
  </si>
  <si>
    <t xml:space="preserve">istajaba</t>
  </si>
  <si>
    <t xml:space="preserve">اِسْتَجَابَ</t>
  </si>
  <si>
    <t xml:space="preserve">istajāba</t>
  </si>
  <si>
    <t xml:space="preserve">exaucer, répondre</t>
  </si>
  <si>
    <t xml:space="preserve">ج و ب</t>
  </si>
  <si>
    <t xml:space="preserve">anfaqa</t>
  </si>
  <si>
    <t xml:space="preserve">أَنْفَقَ</t>
  </si>
  <si>
    <t xml:space="preserve">dépenser (dans la voie d'Allah)</t>
  </si>
  <si>
    <t xml:space="preserve">sadaqa-aumone</t>
  </si>
  <si>
    <t xml:space="preserve">صَدَقَة</t>
  </si>
  <si>
    <t xml:space="preserve">aumône</t>
  </si>
  <si>
    <t xml:space="preserve">Même racine que « ṣidq », la véracité : l'aumône atteste la sincérité de la foi.</t>
  </si>
  <si>
    <t xml:space="preserve">tahara</t>
  </si>
  <si>
    <t xml:space="preserve">طَهَّرَ</t>
  </si>
  <si>
    <t xml:space="preserve">ṭahhara</t>
  </si>
  <si>
    <t xml:space="preserve">purifier</t>
  </si>
  <si>
    <t xml:space="preserve">ط ه ر</t>
  </si>
  <si>
    <t xml:space="preserve">kaaba</t>
  </si>
  <si>
    <t xml:space="preserve">كَعْبَة</t>
  </si>
  <si>
    <t xml:space="preserve">kaʿba</t>
  </si>
  <si>
    <t xml:space="preserve">la Kaaba</t>
  </si>
  <si>
    <t xml:space="preserve">La famille et les biens</t>
  </si>
  <si>
    <t xml:space="preserve">ab</t>
  </si>
  <si>
    <t xml:space="preserve">أَب</t>
  </si>
  <si>
    <t xml:space="preserve">père</t>
  </si>
  <si>
    <t xml:space="preserve">أ ب و</t>
  </si>
  <si>
    <t xml:space="preserve">umm</t>
  </si>
  <si>
    <t xml:space="preserve">أُمّ</t>
  </si>
  <si>
    <t xml:space="preserve">mère</t>
  </si>
  <si>
    <t xml:space="preserve">ibn</t>
  </si>
  <si>
    <t xml:space="preserve">اِبْن</t>
  </si>
  <si>
    <t xml:space="preserve">fils</t>
  </si>
  <si>
    <t xml:space="preserve">ب ن ي</t>
  </si>
  <si>
    <t xml:space="preserve">walad</t>
  </si>
  <si>
    <t xml:space="preserve">وَلَد</t>
  </si>
  <si>
    <t xml:space="preserve">enfant, descendance</t>
  </si>
  <si>
    <t xml:space="preserve">و ل د</t>
  </si>
  <si>
    <t xml:space="preserve">zawj</t>
  </si>
  <si>
    <t xml:space="preserve">زَوْج</t>
  </si>
  <si>
    <t xml:space="preserve">époux, épouse, paire</t>
  </si>
  <si>
    <t xml:space="preserve">ز و ج</t>
  </si>
  <si>
    <t xml:space="preserve">akh</t>
  </si>
  <si>
    <t xml:space="preserve">أَخ</t>
  </si>
  <si>
    <t xml:space="preserve">frère</t>
  </si>
  <si>
    <t xml:space="preserve">أ خ و</t>
  </si>
  <si>
    <t xml:space="preserve">ukht</t>
  </si>
  <si>
    <t xml:space="preserve">أُخْت</t>
  </si>
  <si>
    <t xml:space="preserve">sœur</t>
  </si>
  <si>
    <t xml:space="preserve">imraa</t>
  </si>
  <si>
    <t xml:space="preserve">اِمْرَأَة</t>
  </si>
  <si>
    <t xml:space="preserve">imraʾa</t>
  </si>
  <si>
    <t xml:space="preserve">femme, épouse</t>
  </si>
  <si>
    <t xml:space="preserve">م ر أ</t>
  </si>
  <si>
    <t xml:space="preserve">rajul</t>
  </si>
  <si>
    <t xml:space="preserve">رَجُل</t>
  </si>
  <si>
    <t xml:space="preserve">homme</t>
  </si>
  <si>
    <t xml:space="preserve">mal</t>
  </si>
  <si>
    <t xml:space="preserve">مَال</t>
  </si>
  <si>
    <t xml:space="preserve">māl</t>
  </si>
  <si>
    <t xml:space="preserve">bien, richesse</t>
  </si>
  <si>
    <t xml:space="preserve">م و ل</t>
  </si>
  <si>
    <t xml:space="preserve">bayt</t>
  </si>
  <si>
    <t xml:space="preserve">بَيْت</t>
  </si>
  <si>
    <t xml:space="preserve">maison, demeure</t>
  </si>
  <si>
    <t xml:space="preserve">ب ي ت</t>
  </si>
  <si>
    <t xml:space="preserve">rizq</t>
  </si>
  <si>
    <t xml:space="preserve">رِزْق</t>
  </si>
  <si>
    <t xml:space="preserve">subsistance, don providentiel</t>
  </si>
  <si>
    <t xml:space="preserve">ر ز ق</t>
  </si>
  <si>
    <t xml:space="preserve">taam</t>
  </si>
  <si>
    <t xml:space="preserve">طَعَام</t>
  </si>
  <si>
    <t xml:space="preserve">ṭaʿām</t>
  </si>
  <si>
    <t xml:space="preserve">nourriture</t>
  </si>
  <si>
    <t xml:space="preserve">ط ع م</t>
  </si>
  <si>
    <t xml:space="preserve">akala</t>
  </si>
  <si>
    <t xml:space="preserve">أَكَلَ</t>
  </si>
  <si>
    <t xml:space="preserve">manger</t>
  </si>
  <si>
    <t xml:space="preserve">أ ك ل</t>
  </si>
  <si>
    <t xml:space="preserve">shariba</t>
  </si>
  <si>
    <t xml:space="preserve">شَرِبَ</t>
  </si>
  <si>
    <t xml:space="preserve">boire</t>
  </si>
  <si>
    <t xml:space="preserve">ش ر ب</t>
  </si>
  <si>
    <t xml:space="preserve">libas</t>
  </si>
  <si>
    <t xml:space="preserve">لِبَاس</t>
  </si>
  <si>
    <t xml:space="preserve">libās</t>
  </si>
  <si>
    <t xml:space="preserve">vêtement</t>
  </si>
  <si>
    <t xml:space="preserve">ل ب س</t>
  </si>
  <si>
    <t xml:space="preserve">yatim</t>
  </si>
  <si>
    <t xml:space="preserve">يَتِيم</t>
  </si>
  <si>
    <t xml:space="preserve">yatīm</t>
  </si>
  <si>
    <t xml:space="preserve">orphelin</t>
  </si>
  <si>
    <t xml:space="preserve">ي ت م</t>
  </si>
  <si>
    <t xml:space="preserve">miskin</t>
  </si>
  <si>
    <t xml:space="preserve">مِسْكِين</t>
  </si>
  <si>
    <t xml:space="preserve">miskīn</t>
  </si>
  <si>
    <t xml:space="preserve">pauvre, nécessiteux</t>
  </si>
  <si>
    <t xml:space="preserve">س ك ن</t>
  </si>
  <si>
    <t xml:space="preserve">Le temps et l'espace</t>
  </si>
  <si>
    <t xml:space="preserve">sana</t>
  </si>
  <si>
    <t xml:space="preserve">سَنَة</t>
  </si>
  <si>
    <t xml:space="preserve">année</t>
  </si>
  <si>
    <t xml:space="preserve">س ن و</t>
  </si>
  <si>
    <t xml:space="preserve">shahr</t>
  </si>
  <si>
    <t xml:space="preserve">شَهْر</t>
  </si>
  <si>
    <t xml:space="preserve">mois</t>
  </si>
  <si>
    <t xml:space="preserve">ش ه ر</t>
  </si>
  <si>
    <t xml:space="preserve">hin</t>
  </si>
  <si>
    <t xml:space="preserve">حِين</t>
  </si>
  <si>
    <t xml:space="preserve">ḥīn</t>
  </si>
  <si>
    <t xml:space="preserve">moment, laps de temps</t>
  </si>
  <si>
    <t xml:space="preserve">ح ي ن</t>
  </si>
  <si>
    <t xml:space="preserve">awwal</t>
  </si>
  <si>
    <t xml:space="preserve">أَوَّل</t>
  </si>
  <si>
    <t xml:space="preserve">premier</t>
  </si>
  <si>
    <t xml:space="preserve">أ و ل</t>
  </si>
  <si>
    <t xml:space="preserve">akhir</t>
  </si>
  <si>
    <t xml:space="preserve">آخِر</t>
  </si>
  <si>
    <t xml:space="preserve">ākhir</t>
  </si>
  <si>
    <t xml:space="preserve">dernier</t>
  </si>
  <si>
    <t xml:space="preserve">jadid</t>
  </si>
  <si>
    <t xml:space="preserve">جَدِيد</t>
  </si>
  <si>
    <t xml:space="preserve">jadīd</t>
  </si>
  <si>
    <t xml:space="preserve">nouveau</t>
  </si>
  <si>
    <t xml:space="preserve">ج د د</t>
  </si>
  <si>
    <t xml:space="preserve">dar</t>
  </si>
  <si>
    <t xml:space="preserve">دَار</t>
  </si>
  <si>
    <t xml:space="preserve">dār</t>
  </si>
  <si>
    <t xml:space="preserve">demeure, résidence</t>
  </si>
  <si>
    <t xml:space="preserve">« dār al-ākhira » : la demeure dernière — un lieu où l'on s'installe pour de bon.</t>
  </si>
  <si>
    <t xml:space="preserve">د و ر</t>
  </si>
  <si>
    <t xml:space="preserve">makan</t>
  </si>
  <si>
    <t xml:space="preserve">مَكَان</t>
  </si>
  <si>
    <t xml:space="preserve">makān</t>
  </si>
  <si>
    <t xml:space="preserve">lieu, endroit</t>
  </si>
  <si>
    <t xml:space="preserve">sabil</t>
  </si>
  <si>
    <t xml:space="preserve">سَبِيل</t>
  </si>
  <si>
    <t xml:space="preserve">sabīl</t>
  </si>
  <si>
    <t xml:space="preserve">« fī sabīli-llāh » : dans la voie d'Allah — expression omniprésente.</t>
  </si>
  <si>
    <t xml:space="preserve">س ب ل</t>
  </si>
  <si>
    <t xml:space="preserve">tariq</t>
  </si>
  <si>
    <t xml:space="preserve">طَرِيق</t>
  </si>
  <si>
    <t xml:space="preserve">ṭarīq</t>
  </si>
  <si>
    <t xml:space="preserve">voie, sentier</t>
  </si>
  <si>
    <t xml:space="preserve">ط ر ق</t>
  </si>
  <si>
    <t xml:space="preserve">bab</t>
  </si>
  <si>
    <t xml:space="preserve">بَاب</t>
  </si>
  <si>
    <t xml:space="preserve">bāb</t>
  </si>
  <si>
    <t xml:space="preserve">porte</t>
  </si>
  <si>
    <t xml:space="preserve">ب و ب</t>
  </si>
  <si>
    <t xml:space="preserve">mashriq</t>
  </si>
  <si>
    <t xml:space="preserve">مَشْرِق</t>
  </si>
  <si>
    <t xml:space="preserve">levant, orient</t>
  </si>
  <si>
    <t xml:space="preserve">ش ر ق</t>
  </si>
  <si>
    <t xml:space="preserve">maghrib</t>
  </si>
  <si>
    <t xml:space="preserve">مَغْرِب</t>
  </si>
  <si>
    <t xml:space="preserve">couchant, occident</t>
  </si>
  <si>
    <t xml:space="preserve">غ ر ب</t>
  </si>
  <si>
    <t xml:space="preserve">yamin</t>
  </si>
  <si>
    <t xml:space="preserve">يَمِين</t>
  </si>
  <si>
    <t xml:space="preserve">yamīn</t>
  </si>
  <si>
    <t xml:space="preserve">droite, serment</t>
  </si>
  <si>
    <t xml:space="preserve">Les « gens de la droite » (aṣḥāb al-yamīn) sont les bienheureux du Jour dernier.</t>
  </si>
  <si>
    <t xml:space="preserve">ي م ن</t>
  </si>
  <si>
    <t xml:space="preserve">shimal</t>
  </si>
  <si>
    <t xml:space="preserve">شِمَال</t>
  </si>
  <si>
    <t xml:space="preserve">shimāl</t>
  </si>
  <si>
    <t xml:space="preserve">gauche</t>
  </si>
  <si>
    <t xml:space="preserve">ش م ل</t>
  </si>
  <si>
    <t xml:space="preserve">wara</t>
  </si>
  <si>
    <t xml:space="preserve">وَرَاء</t>
  </si>
  <si>
    <t xml:space="preserve">warāʾ</t>
  </si>
  <si>
    <t xml:space="preserve">derrière, au-delà de</t>
  </si>
  <si>
    <t xml:space="preserve">و ر ي</t>
  </si>
  <si>
    <t xml:space="preserve">khalf</t>
  </si>
  <si>
    <t xml:space="preserve">خَلْف</t>
  </si>
  <si>
    <t xml:space="preserve">derrière, ce qui suit</t>
  </si>
  <si>
    <t xml:space="preserve">خ ل ف</t>
  </si>
  <si>
    <t xml:space="preserve">qarib</t>
  </si>
  <si>
    <t xml:space="preserve">قَرِيب</t>
  </si>
  <si>
    <t xml:space="preserve">qarīb</t>
  </si>
  <si>
    <t xml:space="preserve">proche</t>
  </si>
  <si>
    <t xml:space="preserve">ق ر ب</t>
  </si>
  <si>
    <t xml:space="preserve">baid</t>
  </si>
  <si>
    <t xml:space="preserve">بَعِيد</t>
  </si>
  <si>
    <t xml:space="preserve">baʿīd</t>
  </si>
  <si>
    <t xml:space="preserve">lointain, éloigné</t>
  </si>
  <si>
    <t xml:space="preserve">Quantité, nombre et mesure</t>
  </si>
  <si>
    <t xml:space="preserve">ahad</t>
  </si>
  <si>
    <t xml:space="preserve">أَحَد</t>
  </si>
  <si>
    <t xml:space="preserve">aḥad</t>
  </si>
  <si>
    <t xml:space="preserve">un, quelqu'un</t>
  </si>
  <si>
    <t xml:space="preserve">Dans la sourate al-Ikhlâṣ, exprime l'unicité absolue d'Allah.</t>
  </si>
  <si>
    <t xml:space="preserve">أ ح د</t>
  </si>
  <si>
    <t xml:space="preserve">ithnan</t>
  </si>
  <si>
    <t xml:space="preserve">اِثْنَان</t>
  </si>
  <si>
    <t xml:space="preserve">ithnān</t>
  </si>
  <si>
    <t xml:space="preserve">deux</t>
  </si>
  <si>
    <t xml:space="preserve">ث ن ي</t>
  </si>
  <si>
    <t xml:space="preserve">thalath</t>
  </si>
  <si>
    <t xml:space="preserve">ثَلَاث</t>
  </si>
  <si>
    <t xml:space="preserve">thalāth</t>
  </si>
  <si>
    <t xml:space="preserve">trois</t>
  </si>
  <si>
    <t xml:space="preserve">ث ل ث</t>
  </si>
  <si>
    <t xml:space="preserve">arba</t>
  </si>
  <si>
    <t xml:space="preserve">أَرْبَع</t>
  </si>
  <si>
    <t xml:space="preserve">arbaʿ</t>
  </si>
  <si>
    <t xml:space="preserve">quatre</t>
  </si>
  <si>
    <t xml:space="preserve">ر ب ع</t>
  </si>
  <si>
    <t xml:space="preserve">khams</t>
  </si>
  <si>
    <t xml:space="preserve">خَمْس</t>
  </si>
  <si>
    <t xml:space="preserve">cinq</t>
  </si>
  <si>
    <t xml:space="preserve">خ م س</t>
  </si>
  <si>
    <t xml:space="preserve">sab</t>
  </si>
  <si>
    <t xml:space="preserve">سَبْع</t>
  </si>
  <si>
    <t xml:space="preserve">sabʿ</t>
  </si>
  <si>
    <t xml:space="preserve">sept</t>
  </si>
  <si>
    <t xml:space="preserve">س ب ع</t>
  </si>
  <si>
    <t xml:space="preserve">ashr</t>
  </si>
  <si>
    <t xml:space="preserve">عَشْر</t>
  </si>
  <si>
    <t xml:space="preserve">ʿashr</t>
  </si>
  <si>
    <t xml:space="preserve">dix</t>
  </si>
  <si>
    <t xml:space="preserve">ع ش ر</t>
  </si>
  <si>
    <t xml:space="preserve">mia</t>
  </si>
  <si>
    <t xml:space="preserve">مِائَة</t>
  </si>
  <si>
    <t xml:space="preserve">miʾa</t>
  </si>
  <si>
    <t xml:space="preserve">cent</t>
  </si>
  <si>
    <t xml:space="preserve">م أ ي</t>
  </si>
  <si>
    <t xml:space="preserve">alf</t>
  </si>
  <si>
    <t xml:space="preserve">أَلْف</t>
  </si>
  <si>
    <t xml:space="preserve">mille</t>
  </si>
  <si>
    <t xml:space="preserve">أ ل ف</t>
  </si>
  <si>
    <t xml:space="preserve">kathir</t>
  </si>
  <si>
    <t xml:space="preserve">كَثِير</t>
  </si>
  <si>
    <t xml:space="preserve">kathīr</t>
  </si>
  <si>
    <t xml:space="preserve">nombreux, beaucoup</t>
  </si>
  <si>
    <t xml:space="preserve">ك ث ر</t>
  </si>
  <si>
    <t xml:space="preserve">qalil</t>
  </si>
  <si>
    <t xml:space="preserve">قَلِيل</t>
  </si>
  <si>
    <t xml:space="preserve">qalīl</t>
  </si>
  <si>
    <t xml:space="preserve">peu, rare</t>
  </si>
  <si>
    <t xml:space="preserve">ق ل ل</t>
  </si>
  <si>
    <t xml:space="preserve">akthar</t>
  </si>
  <si>
    <t xml:space="preserve">أَكْثَر</t>
  </si>
  <si>
    <t xml:space="preserve">la plupart, davantage</t>
  </si>
  <si>
    <t xml:space="preserve">« akthar an-nās » : la plupart des gens — formule très fréquente.</t>
  </si>
  <si>
    <t xml:space="preserve">jami</t>
  </si>
  <si>
    <t xml:space="preserve">جَمِيع</t>
  </si>
  <si>
    <t xml:space="preserve">jamīʿ</t>
  </si>
  <si>
    <t xml:space="preserve">tous, en totalité</t>
  </si>
  <si>
    <t xml:space="preserve">ج م ع</t>
  </si>
  <si>
    <t xml:space="preserve">zada</t>
  </si>
  <si>
    <t xml:space="preserve">زَادَ</t>
  </si>
  <si>
    <t xml:space="preserve">zāda</t>
  </si>
  <si>
    <t xml:space="preserve">augmenter, ajouter</t>
  </si>
  <si>
    <t xml:space="preserve">ز ي د</t>
  </si>
  <si>
    <t xml:space="preserve">mizan</t>
  </si>
  <si>
    <t xml:space="preserve">مِيزَان</t>
  </si>
  <si>
    <t xml:space="preserve">mīzān</t>
  </si>
  <si>
    <t xml:space="preserve">balance</t>
  </si>
  <si>
    <t xml:space="preserve">La balance du Jour du Jugement, et la juste mesure à respecter dans le commerce.</t>
  </si>
  <si>
    <t xml:space="preserve">و ز ن</t>
  </si>
  <si>
    <t xml:space="preserve">adad</t>
  </si>
  <si>
    <t xml:space="preserve">عَدَد</t>
  </si>
  <si>
    <t xml:space="preserve">ʿadad</t>
  </si>
  <si>
    <t xml:space="preserve">nombre, quantité</t>
  </si>
  <si>
    <t xml:space="preserve">ع د د</t>
  </si>
  <si>
    <t xml:space="preserve">Ordre, jugement et justice</t>
  </si>
  <si>
    <t xml:space="preserve">hakama</t>
  </si>
  <si>
    <t xml:space="preserve">حَكَمَ</t>
  </si>
  <si>
    <t xml:space="preserve">ḥakama</t>
  </si>
  <si>
    <t xml:space="preserve">juger, trancher</t>
  </si>
  <si>
    <t xml:space="preserve">hukm</t>
  </si>
  <si>
    <t xml:space="preserve">حُكْم</t>
  </si>
  <si>
    <t xml:space="preserve">ḥukm</t>
  </si>
  <si>
    <t xml:space="preserve">jugement, autorité de décision</t>
  </si>
  <si>
    <t xml:space="preserve">amr</t>
  </si>
  <si>
    <t xml:space="preserve">أَمْر</t>
  </si>
  <si>
    <t xml:space="preserve">ordre, affaire, décret</t>
  </si>
  <si>
    <t xml:space="preserve">Double sens permanent : le commandement et l'affaire dont il s'agit.</t>
  </si>
  <si>
    <t xml:space="preserve">naha</t>
  </si>
  <si>
    <t xml:space="preserve">نَهَىٰ</t>
  </si>
  <si>
    <t xml:space="preserve">nahā</t>
  </si>
  <si>
    <t xml:space="preserve">interdire, défendre</t>
  </si>
  <si>
    <t xml:space="preserve">ن ه ي</t>
  </si>
  <si>
    <t xml:space="preserve">harrama</t>
  </si>
  <si>
    <t xml:space="preserve">حَرَّمَ</t>
  </si>
  <si>
    <t xml:space="preserve">ḥarrama</t>
  </si>
  <si>
    <t xml:space="preserve">interdire, rendre illicite</t>
  </si>
  <si>
    <t xml:space="preserve">ح ر م</t>
  </si>
  <si>
    <t xml:space="preserve">halal</t>
  </si>
  <si>
    <t xml:space="preserve">حَلَال</t>
  </si>
  <si>
    <t xml:space="preserve">ḥalāl</t>
  </si>
  <si>
    <t xml:space="preserve">licite, permis</t>
  </si>
  <si>
    <t xml:space="preserve">ح ل ل</t>
  </si>
  <si>
    <t xml:space="preserve">haram</t>
  </si>
  <si>
    <t xml:space="preserve">حَرَام</t>
  </si>
  <si>
    <t xml:space="preserve">ḥarām</t>
  </si>
  <si>
    <t xml:space="preserve">illicite, sacré, inviolable</t>
  </si>
  <si>
    <t xml:space="preserve">Un même mot pour l'interdit et le sacré : « al-masjid al-ḥarām ».</t>
  </si>
  <si>
    <t xml:space="preserve">ahd</t>
  </si>
  <si>
    <t xml:space="preserve">عَهْد</t>
  </si>
  <si>
    <t xml:space="preserve">ʿahd</t>
  </si>
  <si>
    <t xml:space="preserve">pacte, engagement</t>
  </si>
  <si>
    <t xml:space="preserve">ع ه د</t>
  </si>
  <si>
    <t xml:space="preserve">mithaq</t>
  </si>
  <si>
    <t xml:space="preserve">مِيثَاق</t>
  </si>
  <si>
    <t xml:space="preserve">mīthāq</t>
  </si>
  <si>
    <t xml:space="preserve">alliance, pacte solennel</t>
  </si>
  <si>
    <t xml:space="preserve">و ث ق</t>
  </si>
  <si>
    <t xml:space="preserve">shahid</t>
  </si>
  <si>
    <t xml:space="preserve">شَهِيد</t>
  </si>
  <si>
    <t xml:space="preserve">shahīd</t>
  </si>
  <si>
    <t xml:space="preserve">témoin, martyr</t>
  </si>
  <si>
    <t xml:space="preserve">Dans le Coran le sens est presque toujours « témoin » ; celui de martyr s'est imposé plus tard.</t>
  </si>
  <si>
    <t xml:space="preserve">qatala</t>
  </si>
  <si>
    <t xml:space="preserve">قَتَلَ</t>
  </si>
  <si>
    <t xml:space="preserve">tuer</t>
  </si>
  <si>
    <t xml:space="preserve">ق ت ل</t>
  </si>
  <si>
    <t xml:space="preserve">qital</t>
  </si>
  <si>
    <t xml:space="preserve">قِتَال</t>
  </si>
  <si>
    <t xml:space="preserve">qitāl</t>
  </si>
  <si>
    <t xml:space="preserve">combat</t>
  </si>
  <si>
    <t xml:space="preserve">jahada</t>
  </si>
  <si>
    <t xml:space="preserve">جَاهَدَ</t>
  </si>
  <si>
    <t xml:space="preserve">jāhada</t>
  </si>
  <si>
    <t xml:space="preserve">lutter, fournir un effort</t>
  </si>
  <si>
    <t xml:space="preserve">Sens premier : fournir un effort intense. « Jihād » en vient, et ne désigne pas par lui-même le combat armé — que le Coran appelle « qitāl ».</t>
  </si>
  <si>
    <t xml:space="preserve">ج ه د</t>
  </si>
  <si>
    <t xml:space="preserve">aduww</t>
  </si>
  <si>
    <t xml:space="preserve">عَدُوّ</t>
  </si>
  <si>
    <t xml:space="preserve">ʿaduww</t>
  </si>
  <si>
    <t xml:space="preserve">ennemi</t>
  </si>
  <si>
    <t xml:space="preserve">ع د و</t>
  </si>
  <si>
    <t xml:space="preserve">nasara-secourir</t>
  </si>
  <si>
    <t xml:space="preserve">نَصَرَ</t>
  </si>
  <si>
    <t xml:space="preserve">naṣara</t>
  </si>
  <si>
    <t xml:space="preserve">secourir, soutenir</t>
  </si>
  <si>
    <t xml:space="preserve">nasr</t>
  </si>
  <si>
    <t xml:space="preserve">نَصْر</t>
  </si>
  <si>
    <t xml:space="preserve">naṣr</t>
  </si>
  <si>
    <t xml:space="preserve">victoire, secours</t>
  </si>
  <si>
    <t xml:space="preserve">fath</t>
  </si>
  <si>
    <t xml:space="preserve">فَتْح</t>
  </si>
  <si>
    <t xml:space="preserve">fatḥ</t>
  </si>
  <si>
    <t xml:space="preserve">victoire, ouverture</t>
  </si>
  <si>
    <t xml:space="preserve">ف ت ح</t>
  </si>
  <si>
    <t xml:space="preserve">sultan</t>
  </si>
  <si>
    <t xml:space="preserve">سُلْطَان</t>
  </si>
  <si>
    <t xml:space="preserve">sulṭān</t>
  </si>
  <si>
    <t xml:space="preserve">autorité, argument probant</t>
  </si>
  <si>
    <t xml:space="preserve">س ل ط</t>
  </si>
  <si>
    <t xml:space="preserve">Guidée et égarement</t>
  </si>
  <si>
    <t xml:space="preserve">huda</t>
  </si>
  <si>
    <t xml:space="preserve">هُدًى</t>
  </si>
  <si>
    <t xml:space="preserve">hudā</t>
  </si>
  <si>
    <t xml:space="preserve">guidée, bonne direction</t>
  </si>
  <si>
    <t xml:space="preserve">ihtada</t>
  </si>
  <si>
    <t xml:space="preserve">اِهْتَدَىٰ</t>
  </si>
  <si>
    <t xml:space="preserve">ihtadā</t>
  </si>
  <si>
    <t xml:space="preserve">être bien guidé, suivre la guidée</t>
  </si>
  <si>
    <t xml:space="preserve">dalla</t>
  </si>
  <si>
    <t xml:space="preserve">ضَلَّ</t>
  </si>
  <si>
    <t xml:space="preserve">ḍalla</t>
  </si>
  <si>
    <t xml:space="preserve">s'égarer, se perdre</t>
  </si>
  <si>
    <t xml:space="preserve">ض ل ل</t>
  </si>
  <si>
    <t xml:space="preserve">dalal</t>
  </si>
  <si>
    <t xml:space="preserve">ضَلَال</t>
  </si>
  <si>
    <t xml:space="preserve">ḍalāl</t>
  </si>
  <si>
    <t xml:space="preserve">égarement</t>
  </si>
  <si>
    <t xml:space="preserve">adalla</t>
  </si>
  <si>
    <t xml:space="preserve">أَضَلَّ</t>
  </si>
  <si>
    <t xml:space="preserve">aḍalla</t>
  </si>
  <si>
    <t xml:space="preserve">égarer, faire perdre la voie</t>
  </si>
  <si>
    <t xml:space="preserve">zulumat</t>
  </si>
  <si>
    <t xml:space="preserve">ظُلُمَات</t>
  </si>
  <si>
    <t xml:space="preserve">ẓulumāt</t>
  </si>
  <si>
    <t xml:space="preserve">ténèbres</t>
  </si>
  <si>
    <t xml:space="preserve">Toujours au pluriel face au singulier « nūr » : les ténèbres sont multiples, la lumière est une.</t>
  </si>
  <si>
    <t xml:space="preserve">ama</t>
  </si>
  <si>
    <t xml:space="preserve">أَعْمَىٰ</t>
  </si>
  <si>
    <t xml:space="preserve">aʿmā</t>
  </si>
  <si>
    <t xml:space="preserve">aveugle</t>
  </si>
  <si>
    <t xml:space="preserve">ع م ي</t>
  </si>
  <si>
    <t xml:space="preserve">asamm</t>
  </si>
  <si>
    <t xml:space="preserve">أَصَمّ</t>
  </si>
  <si>
    <t xml:space="preserve">aṣamm</t>
  </si>
  <si>
    <t xml:space="preserve">sourd</t>
  </si>
  <si>
    <t xml:space="preserve">ص م م</t>
  </si>
  <si>
    <t xml:space="preserve">fitna</t>
  </si>
  <si>
    <t xml:space="preserve">فِتْنَة</t>
  </si>
  <si>
    <t xml:space="preserve">épreuve, trouble, sédition</t>
  </si>
  <si>
    <t xml:space="preserve">Sens premier : passer le métal au feu pour l'éprouver.</t>
  </si>
  <si>
    <t xml:space="preserve">ف ت ن</t>
  </si>
  <si>
    <t xml:space="preserve">ibtala</t>
  </si>
  <si>
    <t xml:space="preserve">اِبْتَلَىٰ</t>
  </si>
  <si>
    <t xml:space="preserve">ibtalā</t>
  </si>
  <si>
    <t xml:space="preserve">éprouver, mettre à l'épreuve</t>
  </si>
  <si>
    <t xml:space="preserve">ب ل و</t>
  </si>
  <si>
    <t xml:space="preserve">tadhakkara</t>
  </si>
  <si>
    <t xml:space="preserve">تَذَكَّرَ</t>
  </si>
  <si>
    <t xml:space="preserve">se rappeler, méditer</t>
  </si>
  <si>
    <t xml:space="preserve">tafakkara</t>
  </si>
  <si>
    <t xml:space="preserve">تَفَكَّرَ</t>
  </si>
  <si>
    <t xml:space="preserve">réfléchir</t>
  </si>
  <si>
    <t xml:space="preserve">ف ك ر</t>
  </si>
  <si>
    <t xml:space="preserve">tadabbara</t>
  </si>
  <si>
    <t xml:space="preserve">تَدَبَّرَ</t>
  </si>
  <si>
    <t xml:space="preserve">méditer en profondeur</t>
  </si>
  <si>
    <t xml:space="preserve">Le verbe employé pour la méditation du Coran lui-même.</t>
  </si>
  <si>
    <t xml:space="preserve">د ب ر</t>
  </si>
  <si>
    <t xml:space="preserve">bashshara</t>
  </si>
  <si>
    <t xml:space="preserve">بَشَّرَ</t>
  </si>
  <si>
    <t xml:space="preserve">annoncer une bonne nouvelle</t>
  </si>
  <si>
    <t xml:space="preserve">ب ش ر</t>
  </si>
  <si>
    <t xml:space="preserve">andhara</t>
  </si>
  <si>
    <t xml:space="preserve">أَنْذَرَ</t>
  </si>
  <si>
    <t xml:space="preserve">avertir, mettre en garde</t>
  </si>
  <si>
    <t xml:space="preserve">ن ذ ر</t>
  </si>
  <si>
    <t xml:space="preserve">ittabaa</t>
  </si>
  <si>
    <t xml:space="preserve">اِتَّبَعَ</t>
  </si>
  <si>
    <t xml:space="preserve">ittabaʿa</t>
  </si>
  <si>
    <t xml:space="preserve">suivre</t>
  </si>
  <si>
    <t xml:space="preserve">ت ب ع</t>
  </si>
  <si>
    <t xml:space="preserve">Verbes du récit</t>
  </si>
  <si>
    <t xml:space="preserve">ata-donner</t>
  </si>
  <si>
    <t xml:space="preserve">آتَىٰ</t>
  </si>
  <si>
    <t xml:space="preserve">ātā</t>
  </si>
  <si>
    <t xml:space="preserve">donner, accorder</t>
  </si>
  <si>
    <t xml:space="preserve">À ne pas confondre avec « atā » (venir) : même racine, forme différente.</t>
  </si>
  <si>
    <t xml:space="preserve">saala</t>
  </si>
  <si>
    <t xml:space="preserve">سَأَلَ</t>
  </si>
  <si>
    <t xml:space="preserve">saʾala</t>
  </si>
  <si>
    <t xml:space="preserve">demander, interroger</t>
  </si>
  <si>
    <t xml:space="preserve">س أ ل</t>
  </si>
  <si>
    <t xml:space="preserve">qada</t>
  </si>
  <si>
    <t xml:space="preserve">قَضَىٰ</t>
  </si>
  <si>
    <t xml:space="preserve">qaḍā</t>
  </si>
  <si>
    <t xml:space="preserve">décréter, accomplir, trancher</t>
  </si>
  <si>
    <t xml:space="preserve">ق ض ي</t>
  </si>
  <si>
    <t xml:space="preserve">malaka</t>
  </si>
  <si>
    <t xml:space="preserve">مَلَكَ</t>
  </si>
  <si>
    <t xml:space="preserve">posséder, détenir</t>
  </si>
  <si>
    <t xml:space="preserve">sara</t>
  </si>
  <si>
    <t xml:space="preserve">سَارَ</t>
  </si>
  <si>
    <t xml:space="preserve">sāra</t>
  </si>
  <si>
    <t xml:space="preserve">cheminer, parcourir la terre</t>
  </si>
  <si>
    <t xml:space="preserve">« sīrū fī al-arḍ » : parcourez la terre — invitation récurrente à observer.</t>
  </si>
  <si>
    <t xml:space="preserve">س ي ر</t>
  </si>
  <si>
    <t xml:space="preserve">sakana</t>
  </si>
  <si>
    <t xml:space="preserve">سَكَنَ</t>
  </si>
  <si>
    <t xml:space="preserve">habiter, demeurer, s'apaiser</t>
  </si>
  <si>
    <t xml:space="preserve">badaa</t>
  </si>
  <si>
    <t xml:space="preserve">بَدَأَ</t>
  </si>
  <si>
    <t xml:space="preserve">badaʾa</t>
  </si>
  <si>
    <t xml:space="preserve">commencer, initier</t>
  </si>
  <si>
    <t xml:space="preserve">ب د أ</t>
  </si>
  <si>
    <t xml:space="preserve">atamma</t>
  </si>
  <si>
    <t xml:space="preserve">أَتَمَّ</t>
  </si>
  <si>
    <t xml:space="preserve">achever, parfaire</t>
  </si>
  <si>
    <t xml:space="preserve">ت م م</t>
  </si>
  <si>
    <t xml:space="preserve">zayyana</t>
  </si>
  <si>
    <t xml:space="preserve">زَيَّنَ</t>
  </si>
  <si>
    <t xml:space="preserve">embellir, parer</t>
  </si>
  <si>
    <t xml:space="preserve">ز ي ن</t>
  </si>
  <si>
    <t xml:space="preserve">kashafa</t>
  </si>
  <si>
    <t xml:space="preserve">كَشَفَ</t>
  </si>
  <si>
    <t xml:space="preserve">dévoiler, dissiper</t>
  </si>
  <si>
    <t xml:space="preserve">ك ش ف</t>
  </si>
  <si>
    <t xml:space="preserve">akhfa</t>
  </si>
  <si>
    <t xml:space="preserve">أَخْفَىٰ</t>
  </si>
  <si>
    <t xml:space="preserve">akhfā</t>
  </si>
  <si>
    <t xml:space="preserve">cacher, dissimuler</t>
  </si>
  <si>
    <t xml:space="preserve">خ ف ي</t>
  </si>
  <si>
    <t xml:space="preserve">zahara</t>
  </si>
  <si>
    <t xml:space="preserve">ظَهَرَ</t>
  </si>
  <si>
    <t xml:space="preserve">ẓahara</t>
  </si>
  <si>
    <t xml:space="preserve">apparaître, l'emporter</t>
  </si>
  <si>
    <t xml:space="preserve">ظ ه ر</t>
  </si>
  <si>
    <t xml:space="preserve">taraka</t>
  </si>
  <si>
    <t xml:space="preserve">تَرَكَ</t>
  </si>
  <si>
    <t xml:space="preserve">laisser, abandonner</t>
  </si>
  <si>
    <t xml:space="preserve">ت ر ك</t>
  </si>
  <si>
    <t xml:space="preserve">hamala</t>
  </si>
  <si>
    <t xml:space="preserve">حَمَلَ</t>
  </si>
  <si>
    <t xml:space="preserve">ḥamala</t>
  </si>
  <si>
    <t xml:space="preserve">porter, supporter</t>
  </si>
  <si>
    <t xml:space="preserve">ح م ل</t>
  </si>
  <si>
    <t xml:space="preserve">wadaa</t>
  </si>
  <si>
    <t xml:space="preserve">وَضَعَ</t>
  </si>
  <si>
    <t xml:space="preserve">waḍaʿa</t>
  </si>
  <si>
    <t xml:space="preserve">poser, déposer</t>
  </si>
  <si>
    <t xml:space="preserve">و ض ع</t>
  </si>
  <si>
    <t xml:space="preserve">rafaa</t>
  </si>
  <si>
    <t xml:space="preserve">رَفَعَ</t>
  </si>
  <si>
    <t xml:space="preserve">rafaʿa</t>
  </si>
  <si>
    <t xml:space="preserve">élever, hausser</t>
  </si>
  <si>
    <t xml:space="preserve">ر ف ع</t>
  </si>
  <si>
    <t xml:space="preserve">fataha</t>
  </si>
  <si>
    <t xml:space="preserve">فَتَحَ</t>
  </si>
  <si>
    <t xml:space="preserve">fataḥa</t>
  </si>
  <si>
    <t xml:space="preserve">ouvrir</t>
  </si>
  <si>
    <t xml:space="preserve">ghalaba</t>
  </si>
  <si>
    <t xml:space="preserve">غَلَبَ</t>
  </si>
  <si>
    <t xml:space="preserve">vaincre, l'emporter</t>
  </si>
  <si>
    <t xml:space="preserve">غ ل ب</t>
  </si>
  <si>
    <t xml:space="preserve">sabaqa</t>
  </si>
  <si>
    <t xml:space="preserve">سَبَقَ</t>
  </si>
  <si>
    <t xml:space="preserve">devancer, précéder</t>
  </si>
  <si>
    <t xml:space="preserve">س ب ق</t>
  </si>
  <si>
    <t xml:space="preserve">ahlaka</t>
  </si>
  <si>
    <t xml:space="preserve">أَهْلَكَ</t>
  </si>
  <si>
    <t xml:space="preserve">anéantir, faire périr</t>
  </si>
  <si>
    <t xml:space="preserve">ه ل ك</t>
  </si>
  <si>
    <t xml:space="preserve">Avancement de la relecture</t>
  </si>
  <si>
    <t xml:space="preserve">Total de mots</t>
  </si>
  <si>
    <t xml:space="preserve">Relus</t>
  </si>
  <si>
    <t xml:space="preserve">Restants</t>
  </si>
  <si>
    <t xml:space="preserve">Avancement</t>
  </si>
  <si>
    <t xml:space="preserve">OK</t>
  </si>
  <si>
    <t xml:space="preserve">À corriger</t>
  </si>
  <si>
    <t xml:space="preserve">Douteux</t>
  </si>
  <si>
    <t xml:space="preserve">Avec précision</t>
  </si>
  <si>
    <t xml:space="preserve">Rentabilité par pack — total des mots du Coran couverts</t>
  </si>
  <si>
    <t xml:space="preserve">Mots</t>
  </si>
  <si>
    <t xml:space="preserve">Ne pas additionner la colonne « Mots couverts » : deux mots d'une même racine couvrent les mêmes occurrences. Elle sert à classer les packs, pas à totaliser. La couverture réelle est de 76,7 %.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</si>
</sst>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4.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18</v>
      </c>
    </row>
    <row r="26" customFormat="false" ht="15" hidden="false" customHeight="false" outlineLevel="0" collapsed="false">
      <c r="A26" s="2" t="s">
        <v>19</v>
      </c>
    </row>
    <row r="27" customFormat="false" ht="15" hidden="false" customHeight="false" outlineLevel="0" collapsed="false">
      <c r="A27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"/>
    <col collapsed="false" customWidth="true" hidden="false" outlineLevel="0" max="5" min="3" style="0" width="18"/>
    <col collapsed="false" customWidth="true" hidden="false" outlineLevel="0" max="6" min="6" style="0" width="34"/>
    <col collapsed="false" customWidth="true" hidden="false" outlineLevel="0" max="7" min="7" style="0" width="52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5" min="14" style="0" width="30"/>
  </cols>
  <sheetData>
    <row r="1" customFormat="false" ht="26.8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</row>
    <row r="2" customFormat="false" ht="17.35" hidden="false" customHeight="false" outlineLevel="0" collapsed="false">
      <c r="A2" s="5" t="s">
        <v>36</v>
      </c>
      <c r="B2" s="6" t="n">
        <v>1</v>
      </c>
      <c r="C2" s="5" t="s">
        <v>37</v>
      </c>
      <c r="D2" s="7" t="s">
        <v>38</v>
      </c>
      <c r="E2" s="5" t="s">
        <v>37</v>
      </c>
      <c r="F2" s="8" t="s">
        <v>39</v>
      </c>
      <c r="G2" s="8"/>
      <c r="H2" s="9" t="s">
        <v>40</v>
      </c>
      <c r="I2" s="5" t="s">
        <v>39</v>
      </c>
      <c r="J2" s="10" t="n">
        <v>381</v>
      </c>
      <c r="K2" s="6" t="n">
        <v>1</v>
      </c>
      <c r="L2" s="6" t="n">
        <v>1</v>
      </c>
      <c r="M2" s="11"/>
      <c r="N2" s="11"/>
      <c r="O2" s="11"/>
    </row>
    <row r="3" customFormat="false" ht="17.35" hidden="false" customHeight="false" outlineLevel="0" collapsed="false">
      <c r="A3" s="5" t="s">
        <v>36</v>
      </c>
      <c r="B3" s="6" t="n">
        <v>1</v>
      </c>
      <c r="C3" s="5" t="s">
        <v>41</v>
      </c>
      <c r="D3" s="7" t="s">
        <v>42</v>
      </c>
      <c r="E3" s="5" t="s">
        <v>43</v>
      </c>
      <c r="F3" s="8" t="s">
        <v>44</v>
      </c>
      <c r="G3" s="8" t="s">
        <v>45</v>
      </c>
      <c r="H3" s="9"/>
      <c r="I3" s="5" t="s">
        <v>46</v>
      </c>
      <c r="J3" s="10" t="n">
        <v>2699</v>
      </c>
      <c r="K3" s="6" t="n">
        <v>1</v>
      </c>
      <c r="L3" s="6" t="n">
        <v>1</v>
      </c>
      <c r="M3" s="11"/>
      <c r="N3" s="11"/>
      <c r="O3" s="11"/>
    </row>
    <row r="4" customFormat="false" ht="26.85" hidden="false" customHeight="false" outlineLevel="0" collapsed="false">
      <c r="A4" s="5" t="s">
        <v>36</v>
      </c>
      <c r="B4" s="6" t="n">
        <v>1</v>
      </c>
      <c r="C4" s="5" t="s">
        <v>47</v>
      </c>
      <c r="D4" s="7" t="s">
        <v>48</v>
      </c>
      <c r="E4" s="5" t="s">
        <v>49</v>
      </c>
      <c r="F4" s="8" t="s">
        <v>50</v>
      </c>
      <c r="G4" s="8" t="s">
        <v>51</v>
      </c>
      <c r="H4" s="9" t="s">
        <v>52</v>
      </c>
      <c r="I4" s="5" t="s">
        <v>39</v>
      </c>
      <c r="J4" s="10" t="n">
        <v>339</v>
      </c>
      <c r="K4" s="6" t="n">
        <v>1</v>
      </c>
      <c r="L4" s="6" t="n">
        <v>3</v>
      </c>
      <c r="M4" s="11"/>
      <c r="N4" s="11"/>
      <c r="O4" s="11"/>
    </row>
    <row r="5" customFormat="false" ht="26.85" hidden="false" customHeight="false" outlineLevel="0" collapsed="false">
      <c r="A5" s="5" t="s">
        <v>36</v>
      </c>
      <c r="B5" s="6" t="n">
        <v>1</v>
      </c>
      <c r="C5" s="5" t="s">
        <v>53</v>
      </c>
      <c r="D5" s="7" t="s">
        <v>54</v>
      </c>
      <c r="E5" s="5" t="s">
        <v>55</v>
      </c>
      <c r="F5" s="8" t="s">
        <v>56</v>
      </c>
      <c r="G5" s="8" t="s">
        <v>57</v>
      </c>
      <c r="H5" s="9" t="s">
        <v>52</v>
      </c>
      <c r="I5" s="5" t="s">
        <v>58</v>
      </c>
      <c r="J5" s="10" t="n">
        <v>339</v>
      </c>
      <c r="K5" s="6" t="n">
        <v>1</v>
      </c>
      <c r="L5" s="6" t="n">
        <v>3</v>
      </c>
      <c r="M5" s="11"/>
      <c r="N5" s="11"/>
      <c r="O5" s="11"/>
    </row>
    <row r="6" customFormat="false" ht="26.85" hidden="false" customHeight="false" outlineLevel="0" collapsed="false">
      <c r="A6" s="5" t="s">
        <v>36</v>
      </c>
      <c r="B6" s="6" t="n">
        <v>1</v>
      </c>
      <c r="C6" s="5" t="s">
        <v>59</v>
      </c>
      <c r="D6" s="7" t="s">
        <v>60</v>
      </c>
      <c r="E6" s="5" t="s">
        <v>61</v>
      </c>
      <c r="F6" s="8" t="s">
        <v>62</v>
      </c>
      <c r="G6" s="8" t="s">
        <v>63</v>
      </c>
      <c r="H6" s="9" t="s">
        <v>64</v>
      </c>
      <c r="I6" s="5" t="s">
        <v>39</v>
      </c>
      <c r="J6" s="10" t="n">
        <v>68</v>
      </c>
      <c r="K6" s="6" t="n">
        <v>1</v>
      </c>
      <c r="L6" s="6" t="n">
        <v>2</v>
      </c>
      <c r="M6" s="11"/>
      <c r="N6" s="11"/>
      <c r="O6" s="11"/>
    </row>
    <row r="7" customFormat="false" ht="17.35" hidden="false" customHeight="false" outlineLevel="0" collapsed="false">
      <c r="A7" s="5" t="s">
        <v>36</v>
      </c>
      <c r="B7" s="6" t="n">
        <v>1</v>
      </c>
      <c r="C7" s="5" t="s">
        <v>65</v>
      </c>
      <c r="D7" s="7" t="s">
        <v>66</v>
      </c>
      <c r="E7" s="5" t="s">
        <v>65</v>
      </c>
      <c r="F7" s="8" t="s">
        <v>67</v>
      </c>
      <c r="G7" s="8" t="s">
        <v>68</v>
      </c>
      <c r="H7" s="9" t="s">
        <v>69</v>
      </c>
      <c r="I7" s="5" t="s">
        <v>39</v>
      </c>
      <c r="J7" s="10" t="n">
        <v>980</v>
      </c>
      <c r="K7" s="6" t="n">
        <v>1</v>
      </c>
      <c r="L7" s="6" t="n">
        <v>2</v>
      </c>
      <c r="M7" s="11"/>
      <c r="N7" s="11"/>
      <c r="O7" s="11"/>
    </row>
    <row r="8" customFormat="false" ht="17.35" hidden="false" customHeight="false" outlineLevel="0" collapsed="false">
      <c r="A8" s="5" t="s">
        <v>36</v>
      </c>
      <c r="B8" s="6" t="n">
        <v>1</v>
      </c>
      <c r="C8" s="5" t="s">
        <v>70</v>
      </c>
      <c r="D8" s="7" t="s">
        <v>71</v>
      </c>
      <c r="E8" s="5" t="s">
        <v>72</v>
      </c>
      <c r="F8" s="8" t="s">
        <v>73</v>
      </c>
      <c r="G8" s="8"/>
      <c r="H8" s="9" t="s">
        <v>74</v>
      </c>
      <c r="I8" s="5" t="s">
        <v>39</v>
      </c>
      <c r="J8" s="10" t="n">
        <v>854</v>
      </c>
      <c r="K8" s="6" t="n">
        <v>1</v>
      </c>
      <c r="L8" s="6" t="n">
        <v>2</v>
      </c>
      <c r="M8" s="11"/>
      <c r="N8" s="11"/>
      <c r="O8" s="11"/>
    </row>
    <row r="9" customFormat="false" ht="17.35" hidden="false" customHeight="false" outlineLevel="0" collapsed="false">
      <c r="A9" s="5" t="s">
        <v>36</v>
      </c>
      <c r="B9" s="6" t="n">
        <v>1</v>
      </c>
      <c r="C9" s="5" t="s">
        <v>75</v>
      </c>
      <c r="D9" s="7" t="s">
        <v>76</v>
      </c>
      <c r="E9" s="5" t="s">
        <v>77</v>
      </c>
      <c r="F9" s="8" t="s">
        <v>78</v>
      </c>
      <c r="G9" s="8"/>
      <c r="H9" s="9" t="s">
        <v>79</v>
      </c>
      <c r="I9" s="5" t="s">
        <v>39</v>
      </c>
      <c r="J9" s="10" t="n">
        <v>206</v>
      </c>
      <c r="K9" s="6" t="n">
        <v>1</v>
      </c>
      <c r="L9" s="6" t="n">
        <v>4</v>
      </c>
      <c r="M9" s="11"/>
      <c r="N9" s="11"/>
      <c r="O9" s="11"/>
    </row>
    <row r="10" customFormat="false" ht="17.35" hidden="false" customHeight="false" outlineLevel="0" collapsed="false">
      <c r="A10" s="5" t="s">
        <v>36</v>
      </c>
      <c r="B10" s="6" t="n">
        <v>1</v>
      </c>
      <c r="C10" s="5" t="s">
        <v>80</v>
      </c>
      <c r="D10" s="7" t="s">
        <v>81</v>
      </c>
      <c r="E10" s="5" t="s">
        <v>80</v>
      </c>
      <c r="F10" s="8" t="s">
        <v>82</v>
      </c>
      <c r="G10" s="8"/>
      <c r="H10" s="9" t="s">
        <v>83</v>
      </c>
      <c r="I10" s="5" t="s">
        <v>39</v>
      </c>
      <c r="J10" s="10" t="n">
        <v>475</v>
      </c>
      <c r="K10" s="6" t="n">
        <v>1</v>
      </c>
      <c r="L10" s="6" t="n">
        <v>4</v>
      </c>
      <c r="M10" s="11"/>
      <c r="N10" s="11"/>
      <c r="O10" s="11"/>
    </row>
    <row r="11" customFormat="false" ht="26.85" hidden="false" customHeight="false" outlineLevel="0" collapsed="false">
      <c r="A11" s="5" t="s">
        <v>36</v>
      </c>
      <c r="B11" s="6" t="n">
        <v>1</v>
      </c>
      <c r="C11" s="5" t="s">
        <v>84</v>
      </c>
      <c r="D11" s="7" t="s">
        <v>85</v>
      </c>
      <c r="E11" s="5" t="s">
        <v>86</v>
      </c>
      <c r="F11" s="8" t="s">
        <v>87</v>
      </c>
      <c r="G11" s="8" t="s">
        <v>88</v>
      </c>
      <c r="H11" s="9" t="s">
        <v>89</v>
      </c>
      <c r="I11" s="5" t="s">
        <v>39</v>
      </c>
      <c r="J11" s="10" t="n">
        <v>101</v>
      </c>
      <c r="K11" s="6" t="n">
        <v>1</v>
      </c>
      <c r="L11" s="6" t="n">
        <v>4</v>
      </c>
      <c r="M11" s="11"/>
      <c r="N11" s="11"/>
      <c r="O11" s="11"/>
    </row>
    <row r="12" customFormat="false" ht="17.35" hidden="false" customHeight="false" outlineLevel="0" collapsed="false">
      <c r="A12" s="5" t="s">
        <v>36</v>
      </c>
      <c r="B12" s="6" t="n">
        <v>1</v>
      </c>
      <c r="C12" s="5" t="s">
        <v>90</v>
      </c>
      <c r="D12" s="7" t="s">
        <v>91</v>
      </c>
      <c r="E12" s="5" t="s">
        <v>92</v>
      </c>
      <c r="F12" s="8" t="s">
        <v>93</v>
      </c>
      <c r="G12" s="8" t="s">
        <v>94</v>
      </c>
      <c r="H12" s="9" t="s">
        <v>95</v>
      </c>
      <c r="I12" s="5" t="s">
        <v>96</v>
      </c>
      <c r="J12" s="10" t="n">
        <v>275</v>
      </c>
      <c r="K12" s="6" t="n">
        <v>1</v>
      </c>
      <c r="L12" s="6" t="n">
        <v>5</v>
      </c>
      <c r="M12" s="11"/>
      <c r="N12" s="11"/>
      <c r="O12" s="11"/>
    </row>
    <row r="13" customFormat="false" ht="17.35" hidden="false" customHeight="false" outlineLevel="0" collapsed="false">
      <c r="A13" s="5" t="s">
        <v>36</v>
      </c>
      <c r="B13" s="6" t="n">
        <v>1</v>
      </c>
      <c r="C13" s="5" t="s">
        <v>97</v>
      </c>
      <c r="D13" s="7" t="s">
        <v>98</v>
      </c>
      <c r="E13" s="5" t="s">
        <v>99</v>
      </c>
      <c r="F13" s="8" t="s">
        <v>100</v>
      </c>
      <c r="G13" s="8"/>
      <c r="H13" s="9" t="s">
        <v>101</v>
      </c>
      <c r="I13" s="5" t="s">
        <v>96</v>
      </c>
      <c r="J13" s="10" t="n">
        <v>12</v>
      </c>
      <c r="K13" s="6" t="n">
        <v>1</v>
      </c>
      <c r="L13" s="6" t="n">
        <v>5</v>
      </c>
      <c r="M13" s="11"/>
      <c r="N13" s="11"/>
      <c r="O13" s="11"/>
    </row>
    <row r="14" customFormat="false" ht="17.35" hidden="false" customHeight="false" outlineLevel="0" collapsed="false">
      <c r="A14" s="5" t="s">
        <v>36</v>
      </c>
      <c r="B14" s="6" t="n">
        <v>1</v>
      </c>
      <c r="C14" s="5" t="s">
        <v>102</v>
      </c>
      <c r="D14" s="7" t="s">
        <v>103</v>
      </c>
      <c r="E14" s="5" t="s">
        <v>104</v>
      </c>
      <c r="F14" s="8" t="s">
        <v>105</v>
      </c>
      <c r="G14" s="8"/>
      <c r="H14" s="9" t="s">
        <v>106</v>
      </c>
      <c r="I14" s="5" t="s">
        <v>96</v>
      </c>
      <c r="J14" s="10" t="n">
        <v>316</v>
      </c>
      <c r="K14" s="6" t="n">
        <v>1</v>
      </c>
      <c r="L14" s="6" t="n">
        <v>6</v>
      </c>
      <c r="M14" s="11"/>
      <c r="N14" s="11"/>
      <c r="O14" s="11"/>
    </row>
    <row r="15" customFormat="false" ht="17.35" hidden="false" customHeight="false" outlineLevel="0" collapsed="false">
      <c r="A15" s="5" t="s">
        <v>36</v>
      </c>
      <c r="B15" s="6" t="n">
        <v>1</v>
      </c>
      <c r="C15" s="5" t="s">
        <v>107</v>
      </c>
      <c r="D15" s="7" t="s">
        <v>108</v>
      </c>
      <c r="E15" s="5" t="s">
        <v>109</v>
      </c>
      <c r="F15" s="8" t="s">
        <v>110</v>
      </c>
      <c r="G15" s="8" t="s">
        <v>111</v>
      </c>
      <c r="H15" s="9" t="s">
        <v>112</v>
      </c>
      <c r="I15" s="5" t="s">
        <v>39</v>
      </c>
      <c r="J15" s="10" t="n">
        <v>45</v>
      </c>
      <c r="K15" s="6" t="n">
        <v>1</v>
      </c>
      <c r="L15" s="6" t="n">
        <v>6</v>
      </c>
      <c r="M15" s="11"/>
      <c r="N15" s="11"/>
      <c r="O15" s="11"/>
    </row>
    <row r="16" customFormat="false" ht="17.35" hidden="false" customHeight="false" outlineLevel="0" collapsed="false">
      <c r="A16" s="5" t="s">
        <v>36</v>
      </c>
      <c r="B16" s="6" t="n">
        <v>1</v>
      </c>
      <c r="C16" s="5" t="s">
        <v>113</v>
      </c>
      <c r="D16" s="7" t="s">
        <v>114</v>
      </c>
      <c r="E16" s="5" t="s">
        <v>115</v>
      </c>
      <c r="F16" s="8" t="s">
        <v>116</v>
      </c>
      <c r="G16" s="8"/>
      <c r="H16" s="9" t="s">
        <v>117</v>
      </c>
      <c r="I16" s="5" t="s">
        <v>58</v>
      </c>
      <c r="J16" s="10" t="n">
        <v>660</v>
      </c>
      <c r="K16" s="6" t="n">
        <v>1</v>
      </c>
      <c r="L16" s="6" t="n">
        <v>6</v>
      </c>
      <c r="M16" s="11"/>
      <c r="N16" s="11"/>
      <c r="O16" s="11"/>
    </row>
    <row r="17" customFormat="false" ht="26.85" hidden="false" customHeight="false" outlineLevel="0" collapsed="false">
      <c r="A17" s="12" t="s">
        <v>118</v>
      </c>
      <c r="B17" s="13" t="n">
        <v>2</v>
      </c>
      <c r="C17" s="5" t="s">
        <v>119</v>
      </c>
      <c r="D17" s="7" t="s">
        <v>120</v>
      </c>
      <c r="E17" s="5" t="s">
        <v>121</v>
      </c>
      <c r="F17" s="8" t="s">
        <v>122</v>
      </c>
      <c r="G17" s="8" t="s">
        <v>123</v>
      </c>
      <c r="H17" s="9" t="s">
        <v>124</v>
      </c>
      <c r="I17" s="5" t="s">
        <v>39</v>
      </c>
      <c r="J17" s="10" t="n">
        <v>2851</v>
      </c>
      <c r="K17" s="6" t="n">
        <v>2</v>
      </c>
      <c r="L17" s="6" t="n">
        <v>163</v>
      </c>
      <c r="M17" s="11"/>
      <c r="N17" s="11"/>
      <c r="O17" s="11"/>
    </row>
    <row r="18" customFormat="false" ht="17.35" hidden="false" customHeight="false" outlineLevel="0" collapsed="false">
      <c r="A18" s="12" t="s">
        <v>118</v>
      </c>
      <c r="B18" s="13" t="n">
        <v>2</v>
      </c>
      <c r="C18" s="5" t="s">
        <v>125</v>
      </c>
      <c r="D18" s="7" t="s">
        <v>126</v>
      </c>
      <c r="E18" s="5" t="s">
        <v>127</v>
      </c>
      <c r="F18" s="8" t="s">
        <v>128</v>
      </c>
      <c r="G18" s="8"/>
      <c r="H18" s="9" t="s">
        <v>52</v>
      </c>
      <c r="I18" s="5" t="s">
        <v>39</v>
      </c>
      <c r="J18" s="10" t="n">
        <v>339</v>
      </c>
      <c r="K18" s="6" t="n">
        <v>7</v>
      </c>
      <c r="L18" s="6" t="n">
        <v>156</v>
      </c>
      <c r="M18" s="11"/>
      <c r="N18" s="11"/>
      <c r="O18" s="11"/>
    </row>
    <row r="19" customFormat="false" ht="17.35" hidden="false" customHeight="false" outlineLevel="0" collapsed="false">
      <c r="A19" s="12" t="s">
        <v>118</v>
      </c>
      <c r="B19" s="13" t="n">
        <v>2</v>
      </c>
      <c r="C19" s="5" t="s">
        <v>129</v>
      </c>
      <c r="D19" s="7" t="s">
        <v>130</v>
      </c>
      <c r="E19" s="5" t="s">
        <v>131</v>
      </c>
      <c r="F19" s="8" t="s">
        <v>132</v>
      </c>
      <c r="G19" s="8"/>
      <c r="H19" s="9" t="s">
        <v>74</v>
      </c>
      <c r="I19" s="5" t="s">
        <v>58</v>
      </c>
      <c r="J19" s="10" t="n">
        <v>854</v>
      </c>
      <c r="K19" s="6" t="n">
        <v>2</v>
      </c>
      <c r="L19" s="6" t="n">
        <v>32</v>
      </c>
      <c r="M19" s="11"/>
      <c r="N19" s="11"/>
      <c r="O19" s="11"/>
    </row>
    <row r="20" customFormat="false" ht="17.35" hidden="false" customHeight="false" outlineLevel="0" collapsed="false">
      <c r="A20" s="12" t="s">
        <v>118</v>
      </c>
      <c r="B20" s="13" t="n">
        <v>2</v>
      </c>
      <c r="C20" s="5" t="s">
        <v>133</v>
      </c>
      <c r="D20" s="7" t="s">
        <v>134</v>
      </c>
      <c r="E20" s="5" t="s">
        <v>135</v>
      </c>
      <c r="F20" s="8" t="s">
        <v>136</v>
      </c>
      <c r="G20" s="8"/>
      <c r="H20" s="9" t="s">
        <v>137</v>
      </c>
      <c r="I20" s="5" t="s">
        <v>58</v>
      </c>
      <c r="J20" s="10" t="n">
        <v>210</v>
      </c>
      <c r="K20" s="6" t="n">
        <v>2</v>
      </c>
      <c r="L20" s="6" t="n">
        <v>32</v>
      </c>
      <c r="M20" s="11"/>
      <c r="N20" s="11"/>
      <c r="O20" s="11"/>
    </row>
    <row r="21" customFormat="false" ht="17.35" hidden="false" customHeight="false" outlineLevel="0" collapsed="false">
      <c r="A21" s="12" t="s">
        <v>118</v>
      </c>
      <c r="B21" s="13" t="n">
        <v>2</v>
      </c>
      <c r="C21" s="5" t="s">
        <v>138</v>
      </c>
      <c r="D21" s="7" t="s">
        <v>139</v>
      </c>
      <c r="E21" s="5" t="s">
        <v>140</v>
      </c>
      <c r="F21" s="8" t="s">
        <v>141</v>
      </c>
      <c r="G21" s="8"/>
      <c r="H21" s="9" t="s">
        <v>142</v>
      </c>
      <c r="I21" s="5" t="s">
        <v>58</v>
      </c>
      <c r="J21" s="10" t="n">
        <v>120</v>
      </c>
      <c r="K21" s="6" t="n">
        <v>2</v>
      </c>
      <c r="L21" s="6" t="n">
        <v>129</v>
      </c>
      <c r="M21" s="11"/>
      <c r="N21" s="11"/>
      <c r="O21" s="11"/>
    </row>
    <row r="22" customFormat="false" ht="17.35" hidden="false" customHeight="false" outlineLevel="0" collapsed="false">
      <c r="A22" s="12" t="s">
        <v>118</v>
      </c>
      <c r="B22" s="13" t="n">
        <v>2</v>
      </c>
      <c r="C22" s="5" t="s">
        <v>143</v>
      </c>
      <c r="D22" s="7" t="s">
        <v>144</v>
      </c>
      <c r="E22" s="5" t="s">
        <v>145</v>
      </c>
      <c r="F22" s="8" t="s">
        <v>146</v>
      </c>
      <c r="G22" s="8"/>
      <c r="H22" s="9" t="s">
        <v>147</v>
      </c>
      <c r="I22" s="5" t="s">
        <v>58</v>
      </c>
      <c r="J22" s="10" t="n">
        <v>234</v>
      </c>
      <c r="K22" s="6" t="n">
        <v>2</v>
      </c>
      <c r="L22" s="6" t="n">
        <v>173</v>
      </c>
      <c r="M22" s="11"/>
      <c r="N22" s="11"/>
      <c r="O22" s="11"/>
    </row>
    <row r="23" customFormat="false" ht="17.35" hidden="false" customHeight="false" outlineLevel="0" collapsed="false">
      <c r="A23" s="12" t="s">
        <v>118</v>
      </c>
      <c r="B23" s="13" t="n">
        <v>2</v>
      </c>
      <c r="C23" s="5" t="s">
        <v>148</v>
      </c>
      <c r="D23" s="7" t="s">
        <v>149</v>
      </c>
      <c r="E23" s="5" t="s">
        <v>150</v>
      </c>
      <c r="F23" s="8" t="s">
        <v>151</v>
      </c>
      <c r="G23" s="8"/>
      <c r="H23" s="9" t="s">
        <v>152</v>
      </c>
      <c r="I23" s="5" t="s">
        <v>58</v>
      </c>
      <c r="J23" s="10" t="n">
        <v>185</v>
      </c>
      <c r="K23" s="6" t="n">
        <v>2</v>
      </c>
      <c r="L23" s="6" t="n">
        <v>127</v>
      </c>
      <c r="M23" s="11"/>
      <c r="N23" s="11"/>
      <c r="O23" s="11"/>
    </row>
    <row r="24" customFormat="false" ht="17.35" hidden="false" customHeight="false" outlineLevel="0" collapsed="false">
      <c r="A24" s="12" t="s">
        <v>118</v>
      </c>
      <c r="B24" s="13" t="n">
        <v>2</v>
      </c>
      <c r="C24" s="5" t="s">
        <v>153</v>
      </c>
      <c r="D24" s="7" t="s">
        <v>154</v>
      </c>
      <c r="E24" s="5" t="s">
        <v>155</v>
      </c>
      <c r="F24" s="8" t="s">
        <v>156</v>
      </c>
      <c r="G24" s="8"/>
      <c r="H24" s="9" t="s">
        <v>157</v>
      </c>
      <c r="I24" s="5" t="s">
        <v>58</v>
      </c>
      <c r="J24" s="10" t="n">
        <v>148</v>
      </c>
      <c r="K24" s="6" t="n">
        <v>2</v>
      </c>
      <c r="L24" s="6" t="n">
        <v>96</v>
      </c>
      <c r="M24" s="11"/>
      <c r="N24" s="11"/>
      <c r="O24" s="11"/>
    </row>
    <row r="25" customFormat="false" ht="17.35" hidden="false" customHeight="false" outlineLevel="0" collapsed="false">
      <c r="A25" s="12" t="s">
        <v>118</v>
      </c>
      <c r="B25" s="13" t="n">
        <v>2</v>
      </c>
      <c r="C25" s="5" t="s">
        <v>158</v>
      </c>
      <c r="D25" s="7" t="s">
        <v>159</v>
      </c>
      <c r="E25" s="5" t="s">
        <v>160</v>
      </c>
      <c r="F25" s="8" t="s">
        <v>161</v>
      </c>
      <c r="G25" s="8"/>
      <c r="H25" s="9" t="s">
        <v>162</v>
      </c>
      <c r="I25" s="5" t="s">
        <v>58</v>
      </c>
      <c r="J25" s="10" t="n">
        <v>132</v>
      </c>
      <c r="K25" s="6" t="n">
        <v>2</v>
      </c>
      <c r="L25" s="6" t="n">
        <v>20</v>
      </c>
      <c r="M25" s="11"/>
      <c r="N25" s="11"/>
      <c r="O25" s="11"/>
    </row>
    <row r="26" customFormat="false" ht="17.35" hidden="false" customHeight="false" outlineLevel="0" collapsed="false">
      <c r="A26" s="12" t="s">
        <v>118</v>
      </c>
      <c r="B26" s="13" t="n">
        <v>2</v>
      </c>
      <c r="C26" s="5" t="s">
        <v>163</v>
      </c>
      <c r="D26" s="7" t="s">
        <v>164</v>
      </c>
      <c r="E26" s="5" t="s">
        <v>165</v>
      </c>
      <c r="F26" s="8" t="s">
        <v>166</v>
      </c>
      <c r="G26" s="8"/>
      <c r="H26" s="9" t="s">
        <v>167</v>
      </c>
      <c r="I26" s="5" t="s">
        <v>58</v>
      </c>
      <c r="J26" s="10" t="n">
        <v>52</v>
      </c>
      <c r="K26" s="6" t="n">
        <v>2</v>
      </c>
      <c r="L26" s="6" t="n">
        <v>234</v>
      </c>
      <c r="M26" s="11"/>
      <c r="N26" s="11"/>
      <c r="O26" s="11"/>
    </row>
    <row r="27" customFormat="false" ht="17.35" hidden="false" customHeight="false" outlineLevel="0" collapsed="false">
      <c r="A27" s="12" t="s">
        <v>118</v>
      </c>
      <c r="B27" s="13" t="n">
        <v>2</v>
      </c>
      <c r="C27" s="5" t="s">
        <v>168</v>
      </c>
      <c r="D27" s="7" t="s">
        <v>169</v>
      </c>
      <c r="E27" s="5" t="s">
        <v>170</v>
      </c>
      <c r="F27" s="8" t="s">
        <v>171</v>
      </c>
      <c r="G27" s="8"/>
      <c r="H27" s="9" t="s">
        <v>172</v>
      </c>
      <c r="I27" s="5" t="s">
        <v>58</v>
      </c>
      <c r="J27" s="10" t="n">
        <v>47</v>
      </c>
      <c r="K27" s="6" t="n">
        <v>27</v>
      </c>
      <c r="L27" s="6" t="n">
        <v>40</v>
      </c>
      <c r="M27" s="11"/>
      <c r="N27" s="11"/>
      <c r="O27" s="11"/>
    </row>
    <row r="28" customFormat="false" ht="17.35" hidden="false" customHeight="false" outlineLevel="0" collapsed="false">
      <c r="A28" s="12" t="s">
        <v>118</v>
      </c>
      <c r="B28" s="13" t="n">
        <v>2</v>
      </c>
      <c r="C28" s="5" t="s">
        <v>173</v>
      </c>
      <c r="D28" s="7" t="s">
        <v>174</v>
      </c>
      <c r="E28" s="5" t="s">
        <v>175</v>
      </c>
      <c r="F28" s="8" t="s">
        <v>176</v>
      </c>
      <c r="G28" s="8"/>
      <c r="H28" s="9" t="s">
        <v>177</v>
      </c>
      <c r="I28" s="5" t="s">
        <v>58</v>
      </c>
      <c r="J28" s="10" t="n">
        <v>128</v>
      </c>
      <c r="K28" s="6" t="n">
        <v>2</v>
      </c>
      <c r="L28" s="6" t="n">
        <v>255</v>
      </c>
      <c r="M28" s="11"/>
      <c r="N28" s="11"/>
      <c r="O28" s="11"/>
    </row>
    <row r="29" customFormat="false" ht="17.35" hidden="false" customHeight="false" outlineLevel="0" collapsed="false">
      <c r="A29" s="12" t="s">
        <v>118</v>
      </c>
      <c r="B29" s="13" t="n">
        <v>2</v>
      </c>
      <c r="C29" s="5" t="s">
        <v>178</v>
      </c>
      <c r="D29" s="7" t="s">
        <v>179</v>
      </c>
      <c r="E29" s="5" t="s">
        <v>180</v>
      </c>
      <c r="F29" s="8" t="s">
        <v>181</v>
      </c>
      <c r="G29" s="8"/>
      <c r="H29" s="9" t="s">
        <v>182</v>
      </c>
      <c r="I29" s="5" t="s">
        <v>58</v>
      </c>
      <c r="J29" s="10" t="n">
        <v>21</v>
      </c>
      <c r="K29" s="6" t="n">
        <v>2</v>
      </c>
      <c r="L29" s="6" t="n">
        <v>225</v>
      </c>
      <c r="M29" s="11"/>
      <c r="N29" s="11"/>
      <c r="O29" s="11"/>
    </row>
    <row r="30" customFormat="false" ht="17.35" hidden="false" customHeight="false" outlineLevel="0" collapsed="false">
      <c r="A30" s="12" t="s">
        <v>118</v>
      </c>
      <c r="B30" s="13" t="n">
        <v>2</v>
      </c>
      <c r="C30" s="5" t="s">
        <v>183</v>
      </c>
      <c r="D30" s="7" t="s">
        <v>184</v>
      </c>
      <c r="E30" s="5" t="s">
        <v>185</v>
      </c>
      <c r="F30" s="8" t="s">
        <v>186</v>
      </c>
      <c r="G30" s="8"/>
      <c r="H30" s="9" t="s">
        <v>187</v>
      </c>
      <c r="I30" s="5" t="s">
        <v>58</v>
      </c>
      <c r="J30" s="10" t="n">
        <v>68</v>
      </c>
      <c r="K30" s="6" t="n">
        <v>2</v>
      </c>
      <c r="L30" s="6" t="n">
        <v>163</v>
      </c>
      <c r="M30" s="11"/>
      <c r="N30" s="11"/>
      <c r="O30" s="11"/>
    </row>
    <row r="31" customFormat="false" ht="17.35" hidden="false" customHeight="false" outlineLevel="0" collapsed="false">
      <c r="A31" s="12" t="s">
        <v>118</v>
      </c>
      <c r="B31" s="13" t="n">
        <v>2</v>
      </c>
      <c r="C31" s="5" t="s">
        <v>188</v>
      </c>
      <c r="D31" s="7" t="s">
        <v>189</v>
      </c>
      <c r="E31" s="5" t="s">
        <v>190</v>
      </c>
      <c r="F31" s="8" t="s">
        <v>191</v>
      </c>
      <c r="G31" s="8"/>
      <c r="H31" s="9" t="s">
        <v>192</v>
      </c>
      <c r="I31" s="5" t="s">
        <v>58</v>
      </c>
      <c r="J31" s="10" t="n">
        <v>189</v>
      </c>
      <c r="K31" s="6" t="n">
        <v>2</v>
      </c>
      <c r="L31" s="6" t="n">
        <v>255</v>
      </c>
      <c r="M31" s="11"/>
      <c r="N31" s="11"/>
      <c r="O31" s="11"/>
    </row>
    <row r="32" customFormat="false" ht="17.35" hidden="false" customHeight="false" outlineLevel="0" collapsed="false">
      <c r="A32" s="12" t="s">
        <v>118</v>
      </c>
      <c r="B32" s="13" t="n">
        <v>2</v>
      </c>
      <c r="C32" s="5" t="s">
        <v>193</v>
      </c>
      <c r="D32" s="7" t="s">
        <v>194</v>
      </c>
      <c r="E32" s="5" t="s">
        <v>195</v>
      </c>
      <c r="F32" s="8" t="s">
        <v>196</v>
      </c>
      <c r="G32" s="8"/>
      <c r="H32" s="9" t="s">
        <v>117</v>
      </c>
      <c r="I32" s="5" t="s">
        <v>58</v>
      </c>
      <c r="J32" s="10" t="n">
        <v>660</v>
      </c>
      <c r="K32" s="6" t="n">
        <v>2</v>
      </c>
      <c r="L32" s="6" t="n">
        <v>255</v>
      </c>
      <c r="M32" s="11"/>
      <c r="N32" s="11"/>
      <c r="O32" s="11"/>
    </row>
    <row r="33" customFormat="false" ht="17.35" hidden="false" customHeight="false" outlineLevel="0" collapsed="false">
      <c r="A33" s="12" t="s">
        <v>118</v>
      </c>
      <c r="B33" s="13" t="n">
        <v>2</v>
      </c>
      <c r="C33" s="5" t="s">
        <v>197</v>
      </c>
      <c r="D33" s="7" t="s">
        <v>198</v>
      </c>
      <c r="E33" s="5" t="s">
        <v>199</v>
      </c>
      <c r="F33" s="8" t="s">
        <v>200</v>
      </c>
      <c r="G33" s="8"/>
      <c r="H33" s="9" t="s">
        <v>201</v>
      </c>
      <c r="I33" s="5" t="s">
        <v>58</v>
      </c>
      <c r="J33" s="10" t="n">
        <v>87</v>
      </c>
      <c r="K33" s="6" t="n">
        <v>2</v>
      </c>
      <c r="L33" s="6" t="n">
        <v>37</v>
      </c>
      <c r="M33" s="11"/>
      <c r="N33" s="11"/>
      <c r="O33" s="11"/>
    </row>
    <row r="34" customFormat="false" ht="17.35" hidden="false" customHeight="false" outlineLevel="0" collapsed="false">
      <c r="A34" s="12" t="s">
        <v>118</v>
      </c>
      <c r="B34" s="13" t="n">
        <v>2</v>
      </c>
      <c r="C34" s="5" t="s">
        <v>202</v>
      </c>
      <c r="D34" s="7" t="s">
        <v>203</v>
      </c>
      <c r="E34" s="5" t="s">
        <v>204</v>
      </c>
      <c r="F34" s="8" t="s">
        <v>205</v>
      </c>
      <c r="G34" s="8"/>
      <c r="H34" s="9" t="s">
        <v>206</v>
      </c>
      <c r="I34" s="5" t="s">
        <v>58</v>
      </c>
      <c r="J34" s="10" t="n">
        <v>75</v>
      </c>
      <c r="K34" s="6" t="n">
        <v>35</v>
      </c>
      <c r="L34" s="6" t="n">
        <v>30</v>
      </c>
      <c r="M34" s="11"/>
      <c r="N34" s="11"/>
      <c r="O34" s="11"/>
    </row>
    <row r="35" customFormat="false" ht="17.35" hidden="false" customHeight="false" outlineLevel="0" collapsed="false">
      <c r="A35" s="12" t="s">
        <v>118</v>
      </c>
      <c r="B35" s="13" t="n">
        <v>2</v>
      </c>
      <c r="C35" s="5" t="s">
        <v>207</v>
      </c>
      <c r="D35" s="7" t="s">
        <v>208</v>
      </c>
      <c r="E35" s="5" t="s">
        <v>209</v>
      </c>
      <c r="F35" s="8" t="s">
        <v>210</v>
      </c>
      <c r="G35" s="8"/>
      <c r="H35" s="9" t="s">
        <v>211</v>
      </c>
      <c r="I35" s="5" t="s">
        <v>39</v>
      </c>
      <c r="J35" s="10" t="n">
        <v>194</v>
      </c>
      <c r="K35" s="6" t="n">
        <v>24</v>
      </c>
      <c r="L35" s="6" t="n">
        <v>35</v>
      </c>
      <c r="M35" s="11"/>
      <c r="N35" s="11"/>
      <c r="O35" s="11"/>
    </row>
    <row r="36" customFormat="false" ht="17.35" hidden="false" customHeight="false" outlineLevel="0" collapsed="false">
      <c r="A36" s="5" t="s">
        <v>212</v>
      </c>
      <c r="B36" s="6" t="n">
        <v>3</v>
      </c>
      <c r="C36" s="5" t="s">
        <v>213</v>
      </c>
      <c r="D36" s="7" t="s">
        <v>214</v>
      </c>
      <c r="E36" s="5" t="s">
        <v>213</v>
      </c>
      <c r="F36" s="8" t="s">
        <v>215</v>
      </c>
      <c r="G36" s="8"/>
      <c r="H36" s="9"/>
      <c r="I36" s="5" t="s">
        <v>216</v>
      </c>
      <c r="J36" s="10" t="n">
        <v>4083</v>
      </c>
      <c r="K36" s="6" t="n">
        <v>2</v>
      </c>
      <c r="L36" s="6" t="n">
        <v>3</v>
      </c>
      <c r="M36" s="11"/>
      <c r="N36" s="11"/>
      <c r="O36" s="11"/>
    </row>
    <row r="37" customFormat="false" ht="17.35" hidden="false" customHeight="false" outlineLevel="0" collapsed="false">
      <c r="A37" s="5" t="s">
        <v>212</v>
      </c>
      <c r="B37" s="6" t="n">
        <v>3</v>
      </c>
      <c r="C37" s="5" t="s">
        <v>217</v>
      </c>
      <c r="D37" s="7" t="s">
        <v>218</v>
      </c>
      <c r="E37" s="5" t="s">
        <v>219</v>
      </c>
      <c r="F37" s="8" t="s">
        <v>220</v>
      </c>
      <c r="G37" s="8"/>
      <c r="H37" s="9"/>
      <c r="I37" s="5" t="s">
        <v>216</v>
      </c>
      <c r="J37" s="10" t="n">
        <v>742</v>
      </c>
      <c r="K37" s="6" t="n">
        <v>2</v>
      </c>
      <c r="L37" s="6" t="n">
        <v>14</v>
      </c>
      <c r="M37" s="11"/>
      <c r="N37" s="11"/>
      <c r="O37" s="11"/>
    </row>
    <row r="38" customFormat="false" ht="17.35" hidden="false" customHeight="false" outlineLevel="0" collapsed="false">
      <c r="A38" s="5" t="s">
        <v>212</v>
      </c>
      <c r="B38" s="6" t="n">
        <v>3</v>
      </c>
      <c r="C38" s="5" t="s">
        <v>221</v>
      </c>
      <c r="D38" s="7" t="s">
        <v>222</v>
      </c>
      <c r="E38" s="5" t="s">
        <v>223</v>
      </c>
      <c r="F38" s="8" t="s">
        <v>224</v>
      </c>
      <c r="G38" s="8"/>
      <c r="H38" s="9"/>
      <c r="I38" s="5" t="s">
        <v>216</v>
      </c>
      <c r="J38" s="10" t="n">
        <v>1458</v>
      </c>
      <c r="K38" s="6" t="n">
        <v>2</v>
      </c>
      <c r="L38" s="6" t="n">
        <v>5</v>
      </c>
      <c r="M38" s="11"/>
      <c r="N38" s="11"/>
      <c r="O38" s="11"/>
    </row>
    <row r="39" customFormat="false" ht="17.35" hidden="false" customHeight="false" outlineLevel="0" collapsed="false">
      <c r="A39" s="5" t="s">
        <v>212</v>
      </c>
      <c r="B39" s="6" t="n">
        <v>3</v>
      </c>
      <c r="C39" s="5" t="s">
        <v>225</v>
      </c>
      <c r="D39" s="7" t="s">
        <v>226</v>
      </c>
      <c r="E39" s="5" t="s">
        <v>227</v>
      </c>
      <c r="F39" s="8" t="s">
        <v>228</v>
      </c>
      <c r="G39" s="8"/>
      <c r="H39" s="9"/>
      <c r="I39" s="5" t="s">
        <v>216</v>
      </c>
      <c r="J39" s="10" t="n">
        <v>1701</v>
      </c>
      <c r="K39" s="6" t="n">
        <v>2</v>
      </c>
      <c r="L39" s="6" t="n">
        <v>10</v>
      </c>
      <c r="M39" s="11"/>
      <c r="N39" s="11"/>
      <c r="O39" s="11"/>
    </row>
    <row r="40" customFormat="false" ht="17.35" hidden="false" customHeight="false" outlineLevel="0" collapsed="false">
      <c r="A40" s="5" t="s">
        <v>212</v>
      </c>
      <c r="B40" s="6" t="n">
        <v>3</v>
      </c>
      <c r="C40" s="5" t="s">
        <v>229</v>
      </c>
      <c r="D40" s="7" t="s">
        <v>230</v>
      </c>
      <c r="E40" s="5" t="s">
        <v>231</v>
      </c>
      <c r="F40" s="8" t="s">
        <v>232</v>
      </c>
      <c r="G40" s="8"/>
      <c r="H40" s="9"/>
      <c r="I40" s="5" t="s">
        <v>216</v>
      </c>
      <c r="J40" s="10" t="n">
        <v>468</v>
      </c>
      <c r="K40" s="6" t="n">
        <v>2</v>
      </c>
      <c r="L40" s="6" t="n">
        <v>189</v>
      </c>
      <c r="M40" s="11"/>
      <c r="N40" s="11"/>
      <c r="O40" s="11"/>
    </row>
    <row r="41" customFormat="false" ht="17.35" hidden="false" customHeight="false" outlineLevel="0" collapsed="false">
      <c r="A41" s="5" t="s">
        <v>212</v>
      </c>
      <c r="B41" s="6" t="n">
        <v>3</v>
      </c>
      <c r="C41" s="5" t="s">
        <v>233</v>
      </c>
      <c r="D41" s="7" t="s">
        <v>234</v>
      </c>
      <c r="E41" s="5" t="s">
        <v>235</v>
      </c>
      <c r="F41" s="8" t="s">
        <v>236</v>
      </c>
      <c r="G41" s="8"/>
      <c r="H41" s="9"/>
      <c r="I41" s="5" t="s">
        <v>216</v>
      </c>
      <c r="J41" s="10" t="n">
        <v>164</v>
      </c>
      <c r="K41" s="6" t="n">
        <v>2</v>
      </c>
      <c r="L41" s="6" t="n">
        <v>153</v>
      </c>
      <c r="M41" s="11"/>
      <c r="N41" s="11"/>
      <c r="O41" s="11"/>
    </row>
    <row r="42" customFormat="false" ht="17.35" hidden="false" customHeight="false" outlineLevel="0" collapsed="false">
      <c r="A42" s="5" t="s">
        <v>212</v>
      </c>
      <c r="B42" s="6" t="n">
        <v>3</v>
      </c>
      <c r="C42" s="5" t="s">
        <v>237</v>
      </c>
      <c r="D42" s="7" t="s">
        <v>238</v>
      </c>
      <c r="E42" s="5" t="s">
        <v>237</v>
      </c>
      <c r="F42" s="8" t="s">
        <v>239</v>
      </c>
      <c r="G42" s="8"/>
      <c r="H42" s="9" t="s">
        <v>240</v>
      </c>
      <c r="I42" s="5" t="s">
        <v>216</v>
      </c>
      <c r="J42" s="10" t="n">
        <v>523</v>
      </c>
      <c r="K42" s="6" t="n">
        <v>2</v>
      </c>
      <c r="L42" s="6" t="n">
        <v>66</v>
      </c>
      <c r="M42" s="11"/>
      <c r="N42" s="11"/>
      <c r="O42" s="11"/>
    </row>
    <row r="43" customFormat="false" ht="17.35" hidden="false" customHeight="false" outlineLevel="0" collapsed="false">
      <c r="A43" s="5" t="s">
        <v>212</v>
      </c>
      <c r="B43" s="6" t="n">
        <v>3</v>
      </c>
      <c r="C43" s="5" t="s">
        <v>241</v>
      </c>
      <c r="D43" s="7" t="s">
        <v>242</v>
      </c>
      <c r="E43" s="5" t="s">
        <v>243</v>
      </c>
      <c r="F43" s="8" t="s">
        <v>244</v>
      </c>
      <c r="G43" s="8"/>
      <c r="H43" s="9"/>
      <c r="I43" s="5" t="s">
        <v>216</v>
      </c>
      <c r="J43" s="10" t="n">
        <v>197</v>
      </c>
      <c r="K43" s="6" t="n">
        <v>2</v>
      </c>
      <c r="L43" s="6" t="n">
        <v>54</v>
      </c>
      <c r="M43" s="11"/>
      <c r="N43" s="11"/>
      <c r="O43" s="11"/>
    </row>
    <row r="44" customFormat="false" ht="17.35" hidden="false" customHeight="false" outlineLevel="0" collapsed="false">
      <c r="A44" s="5" t="s">
        <v>212</v>
      </c>
      <c r="B44" s="6" t="n">
        <v>3</v>
      </c>
      <c r="C44" s="5" t="s">
        <v>245</v>
      </c>
      <c r="D44" s="7" t="s">
        <v>246</v>
      </c>
      <c r="E44" s="5" t="s">
        <v>247</v>
      </c>
      <c r="F44" s="8" t="s">
        <v>248</v>
      </c>
      <c r="G44" s="8"/>
      <c r="H44" s="9" t="s">
        <v>249</v>
      </c>
      <c r="I44" s="5" t="s">
        <v>216</v>
      </c>
      <c r="J44" s="10" t="n">
        <v>235</v>
      </c>
      <c r="K44" s="6" t="n">
        <v>2</v>
      </c>
      <c r="L44" s="6" t="n">
        <v>27</v>
      </c>
      <c r="M44" s="11"/>
      <c r="N44" s="11"/>
      <c r="O44" s="11"/>
    </row>
    <row r="45" customFormat="false" ht="17.35" hidden="false" customHeight="false" outlineLevel="0" collapsed="false">
      <c r="A45" s="5" t="s">
        <v>212</v>
      </c>
      <c r="B45" s="6" t="n">
        <v>3</v>
      </c>
      <c r="C45" s="5" t="s">
        <v>250</v>
      </c>
      <c r="D45" s="7" t="s">
        <v>251</v>
      </c>
      <c r="E45" s="5" t="s">
        <v>250</v>
      </c>
      <c r="F45" s="8" t="s">
        <v>252</v>
      </c>
      <c r="G45" s="8"/>
      <c r="H45" s="9" t="s">
        <v>253</v>
      </c>
      <c r="I45" s="5" t="s">
        <v>216</v>
      </c>
      <c r="J45" s="10" t="n">
        <v>294</v>
      </c>
      <c r="K45" s="6" t="n">
        <v>2</v>
      </c>
      <c r="L45" s="6" t="n">
        <v>25</v>
      </c>
      <c r="M45" s="11"/>
      <c r="N45" s="11"/>
      <c r="O45" s="11"/>
    </row>
    <row r="46" customFormat="false" ht="17.35" hidden="false" customHeight="false" outlineLevel="0" collapsed="false">
      <c r="A46" s="5" t="s">
        <v>212</v>
      </c>
      <c r="B46" s="6" t="n">
        <v>3</v>
      </c>
      <c r="C46" s="5" t="s">
        <v>254</v>
      </c>
      <c r="D46" s="7" t="s">
        <v>255</v>
      </c>
      <c r="E46" s="5" t="s">
        <v>254</v>
      </c>
      <c r="F46" s="8" t="s">
        <v>256</v>
      </c>
      <c r="G46" s="8" t="s">
        <v>257</v>
      </c>
      <c r="H46" s="9"/>
      <c r="I46" s="5" t="s">
        <v>216</v>
      </c>
      <c r="J46" s="10" t="n">
        <v>18</v>
      </c>
      <c r="K46" s="6" t="n">
        <v>18</v>
      </c>
      <c r="L46" s="6" t="n">
        <v>65</v>
      </c>
      <c r="M46" s="11"/>
      <c r="N46" s="11"/>
      <c r="O46" s="11"/>
    </row>
    <row r="47" customFormat="false" ht="26.85" hidden="false" customHeight="false" outlineLevel="0" collapsed="false">
      <c r="A47" s="5" t="s">
        <v>212</v>
      </c>
      <c r="B47" s="6" t="n">
        <v>3</v>
      </c>
      <c r="C47" s="5" t="s">
        <v>258</v>
      </c>
      <c r="D47" s="7" t="s">
        <v>259</v>
      </c>
      <c r="E47" s="5" t="s">
        <v>260</v>
      </c>
      <c r="F47" s="8" t="s">
        <v>261</v>
      </c>
      <c r="G47" s="8" t="s">
        <v>262</v>
      </c>
      <c r="H47" s="9" t="s">
        <v>263</v>
      </c>
      <c r="I47" s="5" t="s">
        <v>216</v>
      </c>
      <c r="J47" s="10" t="n">
        <v>144</v>
      </c>
      <c r="K47" s="6" t="n">
        <v>2</v>
      </c>
      <c r="L47" s="6" t="n">
        <v>23</v>
      </c>
      <c r="M47" s="11"/>
      <c r="N47" s="11"/>
      <c r="O47" s="11"/>
    </row>
    <row r="48" customFormat="false" ht="17.35" hidden="false" customHeight="false" outlineLevel="0" collapsed="false">
      <c r="A48" s="5" t="s">
        <v>212</v>
      </c>
      <c r="B48" s="6" t="n">
        <v>3</v>
      </c>
      <c r="C48" s="5" t="s">
        <v>264</v>
      </c>
      <c r="D48" s="7" t="s">
        <v>265</v>
      </c>
      <c r="E48" s="5" t="s">
        <v>264</v>
      </c>
      <c r="F48" s="8" t="s">
        <v>266</v>
      </c>
      <c r="G48" s="8"/>
      <c r="H48" s="9" t="s">
        <v>267</v>
      </c>
      <c r="I48" s="5" t="s">
        <v>216</v>
      </c>
      <c r="J48" s="10" t="n">
        <v>43</v>
      </c>
      <c r="K48" s="6" t="n">
        <v>2</v>
      </c>
      <c r="L48" s="6" t="n">
        <v>26</v>
      </c>
      <c r="M48" s="11"/>
      <c r="N48" s="11"/>
      <c r="O48" s="11"/>
    </row>
    <row r="49" customFormat="false" ht="17.35" hidden="false" customHeight="false" outlineLevel="0" collapsed="false">
      <c r="A49" s="5" t="s">
        <v>212</v>
      </c>
      <c r="B49" s="6" t="n">
        <v>3</v>
      </c>
      <c r="C49" s="5" t="s">
        <v>268</v>
      </c>
      <c r="D49" s="7" t="s">
        <v>269</v>
      </c>
      <c r="E49" s="5" t="s">
        <v>270</v>
      </c>
      <c r="F49" s="8" t="s">
        <v>271</v>
      </c>
      <c r="G49" s="8"/>
      <c r="H49" s="9" t="s">
        <v>272</v>
      </c>
      <c r="I49" s="5" t="s">
        <v>216</v>
      </c>
      <c r="J49" s="10" t="n">
        <v>51</v>
      </c>
      <c r="K49" s="6" t="n">
        <v>2</v>
      </c>
      <c r="L49" s="6" t="n">
        <v>25</v>
      </c>
      <c r="M49" s="11"/>
      <c r="N49" s="11"/>
      <c r="O49" s="11"/>
    </row>
    <row r="50" customFormat="false" ht="17.35" hidden="false" customHeight="false" outlineLevel="0" collapsed="false">
      <c r="A50" s="5" t="s">
        <v>212</v>
      </c>
      <c r="B50" s="6" t="n">
        <v>3</v>
      </c>
      <c r="C50" s="5" t="s">
        <v>273</v>
      </c>
      <c r="D50" s="7" t="s">
        <v>274</v>
      </c>
      <c r="E50" s="5" t="s">
        <v>273</v>
      </c>
      <c r="F50" s="8" t="s">
        <v>275</v>
      </c>
      <c r="G50" s="8"/>
      <c r="H50" s="9" t="s">
        <v>276</v>
      </c>
      <c r="I50" s="5" t="s">
        <v>39</v>
      </c>
      <c r="J50" s="10" t="n">
        <v>169</v>
      </c>
      <c r="K50" s="6" t="n">
        <v>2</v>
      </c>
      <c r="L50" s="6" t="n">
        <v>23</v>
      </c>
      <c r="M50" s="11"/>
      <c r="N50" s="11"/>
      <c r="O50" s="11"/>
    </row>
    <row r="51" customFormat="false" ht="26.85" hidden="false" customHeight="false" outlineLevel="0" collapsed="false">
      <c r="A51" s="5" t="s">
        <v>212</v>
      </c>
      <c r="B51" s="6" t="n">
        <v>3</v>
      </c>
      <c r="C51" s="5" t="s">
        <v>277</v>
      </c>
      <c r="D51" s="7" t="s">
        <v>278</v>
      </c>
      <c r="E51" s="5" t="s">
        <v>279</v>
      </c>
      <c r="F51" s="8" t="s">
        <v>280</v>
      </c>
      <c r="G51" s="8" t="s">
        <v>281</v>
      </c>
      <c r="H51" s="9"/>
      <c r="I51" s="5" t="s">
        <v>216</v>
      </c>
      <c r="J51" s="10" t="n">
        <v>698</v>
      </c>
      <c r="K51" s="6" t="n">
        <v>2</v>
      </c>
      <c r="L51" s="6" t="n">
        <v>9</v>
      </c>
      <c r="M51" s="11"/>
      <c r="N51" s="11"/>
      <c r="O51" s="11"/>
    </row>
    <row r="52" customFormat="false" ht="17.35" hidden="false" customHeight="false" outlineLevel="0" collapsed="false">
      <c r="A52" s="5" t="s">
        <v>212</v>
      </c>
      <c r="B52" s="6" t="n">
        <v>3</v>
      </c>
      <c r="C52" s="5" t="s">
        <v>282</v>
      </c>
      <c r="D52" s="7" t="s">
        <v>283</v>
      </c>
      <c r="E52" s="5" t="s">
        <v>284</v>
      </c>
      <c r="F52" s="8" t="s">
        <v>285</v>
      </c>
      <c r="G52" s="8"/>
      <c r="H52" s="9"/>
      <c r="I52" s="5" t="s">
        <v>216</v>
      </c>
      <c r="J52" s="10" t="n">
        <v>142</v>
      </c>
      <c r="K52" s="6" t="n">
        <v>2</v>
      </c>
      <c r="L52" s="6" t="n">
        <v>109</v>
      </c>
      <c r="M52" s="11"/>
      <c r="N52" s="11"/>
      <c r="O52" s="11"/>
    </row>
    <row r="53" customFormat="false" ht="26.85" hidden="false" customHeight="false" outlineLevel="0" collapsed="false">
      <c r="A53" s="5" t="s">
        <v>212</v>
      </c>
      <c r="B53" s="6" t="n">
        <v>3</v>
      </c>
      <c r="C53" s="5" t="s">
        <v>286</v>
      </c>
      <c r="D53" s="7" t="s">
        <v>287</v>
      </c>
      <c r="E53" s="5" t="s">
        <v>288</v>
      </c>
      <c r="F53" s="8" t="s">
        <v>289</v>
      </c>
      <c r="G53" s="8" t="s">
        <v>290</v>
      </c>
      <c r="H53" s="9"/>
      <c r="I53" s="5" t="s">
        <v>216</v>
      </c>
      <c r="J53" s="10" t="n">
        <v>129</v>
      </c>
      <c r="K53" s="6" t="n">
        <v>2</v>
      </c>
      <c r="L53" s="6" t="n">
        <v>21</v>
      </c>
      <c r="M53" s="11"/>
      <c r="N53" s="11"/>
      <c r="O53" s="11"/>
    </row>
    <row r="54" customFormat="false" ht="17.35" hidden="false" customHeight="false" outlineLevel="0" collapsed="false">
      <c r="A54" s="5" t="s">
        <v>212</v>
      </c>
      <c r="B54" s="6" t="n">
        <v>3</v>
      </c>
      <c r="C54" s="5" t="s">
        <v>291</v>
      </c>
      <c r="D54" s="7" t="s">
        <v>292</v>
      </c>
      <c r="E54" s="5" t="s">
        <v>293</v>
      </c>
      <c r="F54" s="8" t="s">
        <v>294</v>
      </c>
      <c r="G54" s="8"/>
      <c r="H54" s="9"/>
      <c r="I54" s="5" t="s">
        <v>216</v>
      </c>
      <c r="J54" s="10" t="n">
        <v>58</v>
      </c>
      <c r="K54" s="6" t="n">
        <v>2</v>
      </c>
      <c r="L54" s="6" t="n">
        <v>13</v>
      </c>
      <c r="M54" s="11"/>
      <c r="N54" s="11"/>
      <c r="O54" s="11"/>
    </row>
    <row r="55" customFormat="false" ht="26.85" hidden="false" customHeight="false" outlineLevel="0" collapsed="false">
      <c r="A55" s="12" t="s">
        <v>295</v>
      </c>
      <c r="B55" s="13" t="n">
        <v>4</v>
      </c>
      <c r="C55" s="5" t="s">
        <v>296</v>
      </c>
      <c r="D55" s="7" t="s">
        <v>297</v>
      </c>
      <c r="E55" s="5" t="s">
        <v>298</v>
      </c>
      <c r="F55" s="8" t="s">
        <v>299</v>
      </c>
      <c r="G55" s="8" t="s">
        <v>300</v>
      </c>
      <c r="H55" s="9" t="s">
        <v>301</v>
      </c>
      <c r="I55" s="5" t="s">
        <v>96</v>
      </c>
      <c r="J55" s="10" t="n">
        <v>1722</v>
      </c>
      <c r="K55" s="6" t="n">
        <v>2</v>
      </c>
      <c r="L55" s="6" t="n">
        <v>30</v>
      </c>
      <c r="M55" s="11"/>
      <c r="N55" s="11"/>
      <c r="O55" s="11"/>
    </row>
    <row r="56" customFormat="false" ht="17.35" hidden="false" customHeight="false" outlineLevel="0" collapsed="false">
      <c r="A56" s="12" t="s">
        <v>295</v>
      </c>
      <c r="B56" s="13" t="n">
        <v>4</v>
      </c>
      <c r="C56" s="5" t="s">
        <v>302</v>
      </c>
      <c r="D56" s="7" t="s">
        <v>303</v>
      </c>
      <c r="E56" s="5" t="s">
        <v>304</v>
      </c>
      <c r="F56" s="8" t="s">
        <v>305</v>
      </c>
      <c r="G56" s="8"/>
      <c r="H56" s="9" t="s">
        <v>306</v>
      </c>
      <c r="I56" s="5" t="s">
        <v>96</v>
      </c>
      <c r="J56" s="10" t="n">
        <v>1390</v>
      </c>
      <c r="K56" s="6" t="n">
        <v>2</v>
      </c>
      <c r="L56" s="6" t="n">
        <v>34</v>
      </c>
      <c r="M56" s="11"/>
      <c r="N56" s="11"/>
      <c r="O56" s="11"/>
    </row>
    <row r="57" customFormat="false" ht="17.35" hidden="false" customHeight="false" outlineLevel="0" collapsed="false">
      <c r="A57" s="12" t="s">
        <v>295</v>
      </c>
      <c r="B57" s="13" t="n">
        <v>4</v>
      </c>
      <c r="C57" s="5" t="s">
        <v>307</v>
      </c>
      <c r="D57" s="7" t="s">
        <v>308</v>
      </c>
      <c r="E57" s="5" t="s">
        <v>309</v>
      </c>
      <c r="F57" s="8" t="s">
        <v>310</v>
      </c>
      <c r="G57" s="8"/>
      <c r="H57" s="9" t="s">
        <v>311</v>
      </c>
      <c r="I57" s="5" t="s">
        <v>96</v>
      </c>
      <c r="J57" s="10" t="n">
        <v>346</v>
      </c>
      <c r="K57" s="6" t="n">
        <v>2</v>
      </c>
      <c r="L57" s="6" t="n">
        <v>22</v>
      </c>
      <c r="M57" s="11"/>
      <c r="N57" s="11"/>
      <c r="O57" s="11"/>
    </row>
    <row r="58" customFormat="false" ht="17.35" hidden="false" customHeight="false" outlineLevel="0" collapsed="false">
      <c r="A58" s="12" t="s">
        <v>295</v>
      </c>
      <c r="B58" s="13" t="n">
        <v>4</v>
      </c>
      <c r="C58" s="5" t="s">
        <v>312</v>
      </c>
      <c r="D58" s="7" t="s">
        <v>313</v>
      </c>
      <c r="E58" s="5" t="s">
        <v>314</v>
      </c>
      <c r="F58" s="8" t="s">
        <v>315</v>
      </c>
      <c r="G58" s="8"/>
      <c r="H58" s="9" t="s">
        <v>74</v>
      </c>
      <c r="I58" s="5" t="s">
        <v>96</v>
      </c>
      <c r="J58" s="10" t="n">
        <v>854</v>
      </c>
      <c r="K58" s="6" t="n">
        <v>2</v>
      </c>
      <c r="L58" s="6" t="n">
        <v>30</v>
      </c>
      <c r="M58" s="11"/>
      <c r="N58" s="11"/>
      <c r="O58" s="11"/>
    </row>
    <row r="59" customFormat="false" ht="17.35" hidden="false" customHeight="false" outlineLevel="0" collapsed="false">
      <c r="A59" s="12" t="s">
        <v>295</v>
      </c>
      <c r="B59" s="13" t="n">
        <v>4</v>
      </c>
      <c r="C59" s="5" t="s">
        <v>316</v>
      </c>
      <c r="D59" s="7" t="s">
        <v>317</v>
      </c>
      <c r="E59" s="5" t="s">
        <v>316</v>
      </c>
      <c r="F59" s="8" t="s">
        <v>318</v>
      </c>
      <c r="G59" s="8"/>
      <c r="H59" s="9" t="s">
        <v>319</v>
      </c>
      <c r="I59" s="5" t="s">
        <v>96</v>
      </c>
      <c r="J59" s="10" t="n">
        <v>261</v>
      </c>
      <c r="K59" s="6" t="n">
        <v>2</v>
      </c>
      <c r="L59" s="6" t="n">
        <v>21</v>
      </c>
      <c r="M59" s="11"/>
      <c r="N59" s="11"/>
      <c r="O59" s="11"/>
    </row>
    <row r="60" customFormat="false" ht="17.35" hidden="false" customHeight="false" outlineLevel="0" collapsed="false">
      <c r="A60" s="12" t="s">
        <v>295</v>
      </c>
      <c r="B60" s="13" t="n">
        <v>4</v>
      </c>
      <c r="C60" s="5" t="s">
        <v>320</v>
      </c>
      <c r="D60" s="7" t="s">
        <v>321</v>
      </c>
      <c r="E60" s="5" t="s">
        <v>322</v>
      </c>
      <c r="F60" s="8" t="s">
        <v>323</v>
      </c>
      <c r="G60" s="8"/>
      <c r="H60" s="9" t="s">
        <v>324</v>
      </c>
      <c r="I60" s="5" t="s">
        <v>96</v>
      </c>
      <c r="J60" s="10" t="n">
        <v>549</v>
      </c>
      <c r="K60" s="6" t="n">
        <v>16</v>
      </c>
      <c r="L60" s="6" t="n">
        <v>1</v>
      </c>
      <c r="M60" s="11"/>
      <c r="N60" s="11"/>
      <c r="O60" s="11"/>
    </row>
    <row r="61" customFormat="false" ht="17.35" hidden="false" customHeight="false" outlineLevel="0" collapsed="false">
      <c r="A61" s="12" t="s">
        <v>295</v>
      </c>
      <c r="B61" s="13" t="n">
        <v>4</v>
      </c>
      <c r="C61" s="5" t="s">
        <v>325</v>
      </c>
      <c r="D61" s="7" t="s">
        <v>326</v>
      </c>
      <c r="E61" s="5" t="s">
        <v>327</v>
      </c>
      <c r="F61" s="8" t="s">
        <v>328</v>
      </c>
      <c r="G61" s="8"/>
      <c r="H61" s="9" t="s">
        <v>329</v>
      </c>
      <c r="I61" s="5" t="s">
        <v>96</v>
      </c>
      <c r="J61" s="10" t="n">
        <v>278</v>
      </c>
      <c r="K61" s="6" t="n">
        <v>2</v>
      </c>
      <c r="L61" s="6" t="n">
        <v>87</v>
      </c>
      <c r="M61" s="11"/>
      <c r="N61" s="11"/>
      <c r="O61" s="11"/>
    </row>
    <row r="62" customFormat="false" ht="17.35" hidden="false" customHeight="false" outlineLevel="0" collapsed="false">
      <c r="A62" s="12" t="s">
        <v>295</v>
      </c>
      <c r="B62" s="13" t="n">
        <v>4</v>
      </c>
      <c r="C62" s="5" t="s">
        <v>330</v>
      </c>
      <c r="D62" s="7" t="s">
        <v>331</v>
      </c>
      <c r="E62" s="5" t="s">
        <v>332</v>
      </c>
      <c r="F62" s="8" t="s">
        <v>333</v>
      </c>
      <c r="G62" s="8"/>
      <c r="H62" s="9" t="s">
        <v>334</v>
      </c>
      <c r="I62" s="5" t="s">
        <v>96</v>
      </c>
      <c r="J62" s="10" t="n">
        <v>108</v>
      </c>
      <c r="K62" s="6" t="n">
        <v>2</v>
      </c>
      <c r="L62" s="6" t="n">
        <v>24</v>
      </c>
      <c r="M62" s="11"/>
      <c r="N62" s="11"/>
      <c r="O62" s="11"/>
    </row>
    <row r="63" customFormat="false" ht="26.85" hidden="false" customHeight="false" outlineLevel="0" collapsed="false">
      <c r="A63" s="12" t="s">
        <v>295</v>
      </c>
      <c r="B63" s="13" t="n">
        <v>4</v>
      </c>
      <c r="C63" s="5" t="s">
        <v>335</v>
      </c>
      <c r="D63" s="7" t="s">
        <v>336</v>
      </c>
      <c r="E63" s="5" t="s">
        <v>337</v>
      </c>
      <c r="F63" s="8" t="s">
        <v>338</v>
      </c>
      <c r="G63" s="8" t="s">
        <v>339</v>
      </c>
      <c r="H63" s="9" t="s">
        <v>340</v>
      </c>
      <c r="I63" s="5" t="s">
        <v>96</v>
      </c>
      <c r="J63" s="10" t="n">
        <v>360</v>
      </c>
      <c r="K63" s="6" t="n">
        <v>2</v>
      </c>
      <c r="L63" s="6" t="n">
        <v>25</v>
      </c>
      <c r="M63" s="11"/>
      <c r="N63" s="11"/>
      <c r="O63" s="11"/>
    </row>
    <row r="64" customFormat="false" ht="17.35" hidden="false" customHeight="false" outlineLevel="0" collapsed="false">
      <c r="A64" s="12" t="s">
        <v>295</v>
      </c>
      <c r="B64" s="13" t="n">
        <v>4</v>
      </c>
      <c r="C64" s="5" t="s">
        <v>341</v>
      </c>
      <c r="D64" s="7" t="s">
        <v>342</v>
      </c>
      <c r="E64" s="5" t="s">
        <v>343</v>
      </c>
      <c r="F64" s="8" t="s">
        <v>344</v>
      </c>
      <c r="G64" s="8"/>
      <c r="H64" s="9" t="s">
        <v>345</v>
      </c>
      <c r="I64" s="5" t="s">
        <v>96</v>
      </c>
      <c r="J64" s="10" t="n">
        <v>148</v>
      </c>
      <c r="K64" s="6" t="n">
        <v>2</v>
      </c>
      <c r="L64" s="6" t="n">
        <v>26</v>
      </c>
      <c r="M64" s="11"/>
      <c r="N64" s="11"/>
      <c r="O64" s="11"/>
    </row>
    <row r="65" customFormat="false" ht="17.35" hidden="false" customHeight="false" outlineLevel="0" collapsed="false">
      <c r="A65" s="12" t="s">
        <v>295</v>
      </c>
      <c r="B65" s="13" t="n">
        <v>4</v>
      </c>
      <c r="C65" s="5" t="s">
        <v>346</v>
      </c>
      <c r="D65" s="7" t="s">
        <v>347</v>
      </c>
      <c r="E65" s="5" t="s">
        <v>348</v>
      </c>
      <c r="F65" s="8" t="s">
        <v>349</v>
      </c>
      <c r="G65" s="8"/>
      <c r="H65" s="9" t="s">
        <v>350</v>
      </c>
      <c r="I65" s="5" t="s">
        <v>96</v>
      </c>
      <c r="J65" s="10" t="n">
        <v>328</v>
      </c>
      <c r="K65" s="6" t="n">
        <v>2</v>
      </c>
      <c r="L65" s="6" t="n">
        <v>55</v>
      </c>
      <c r="M65" s="11"/>
      <c r="N65" s="11"/>
      <c r="O65" s="11"/>
    </row>
    <row r="66" customFormat="false" ht="17.35" hidden="false" customHeight="false" outlineLevel="0" collapsed="false">
      <c r="A66" s="12" t="s">
        <v>295</v>
      </c>
      <c r="B66" s="13" t="n">
        <v>4</v>
      </c>
      <c r="C66" s="5" t="s">
        <v>351</v>
      </c>
      <c r="D66" s="7" t="s">
        <v>352</v>
      </c>
      <c r="E66" s="5" t="s">
        <v>353</v>
      </c>
      <c r="F66" s="8" t="s">
        <v>354</v>
      </c>
      <c r="G66" s="8"/>
      <c r="H66" s="9" t="s">
        <v>152</v>
      </c>
      <c r="I66" s="5" t="s">
        <v>96</v>
      </c>
      <c r="J66" s="10" t="n">
        <v>185</v>
      </c>
      <c r="K66" s="6" t="n">
        <v>2</v>
      </c>
      <c r="L66" s="6" t="n">
        <v>93</v>
      </c>
      <c r="M66" s="11"/>
      <c r="N66" s="11"/>
      <c r="O66" s="11"/>
    </row>
    <row r="67" customFormat="false" ht="17.35" hidden="false" customHeight="false" outlineLevel="0" collapsed="false">
      <c r="A67" s="12" t="s">
        <v>295</v>
      </c>
      <c r="B67" s="13" t="n">
        <v>4</v>
      </c>
      <c r="C67" s="5" t="s">
        <v>355</v>
      </c>
      <c r="D67" s="7" t="s">
        <v>356</v>
      </c>
      <c r="E67" s="5" t="s">
        <v>355</v>
      </c>
      <c r="F67" s="8" t="s">
        <v>357</v>
      </c>
      <c r="G67" s="8"/>
      <c r="H67" s="9" t="s">
        <v>358</v>
      </c>
      <c r="I67" s="5" t="s">
        <v>96</v>
      </c>
      <c r="J67" s="10" t="n">
        <v>107</v>
      </c>
      <c r="K67" s="6" t="n">
        <v>4</v>
      </c>
      <c r="L67" s="6" t="n">
        <v>43</v>
      </c>
      <c r="M67" s="11"/>
      <c r="N67" s="11"/>
      <c r="O67" s="11"/>
    </row>
    <row r="68" customFormat="false" ht="17.35" hidden="false" customHeight="false" outlineLevel="0" collapsed="false">
      <c r="A68" s="12" t="s">
        <v>295</v>
      </c>
      <c r="B68" s="13" t="n">
        <v>4</v>
      </c>
      <c r="C68" s="5" t="s">
        <v>359</v>
      </c>
      <c r="D68" s="7" t="s">
        <v>360</v>
      </c>
      <c r="E68" s="5" t="s">
        <v>359</v>
      </c>
      <c r="F68" s="8" t="s">
        <v>361</v>
      </c>
      <c r="G68" s="8"/>
      <c r="H68" s="9" t="s">
        <v>362</v>
      </c>
      <c r="I68" s="5" t="s">
        <v>96</v>
      </c>
      <c r="J68" s="10" t="n">
        <v>273</v>
      </c>
      <c r="K68" s="6" t="n">
        <v>2</v>
      </c>
      <c r="L68" s="6" t="n">
        <v>55</v>
      </c>
      <c r="M68" s="11"/>
      <c r="N68" s="11"/>
      <c r="O68" s="11"/>
    </row>
    <row r="69" customFormat="false" ht="17.35" hidden="false" customHeight="false" outlineLevel="0" collapsed="false">
      <c r="A69" s="12" t="s">
        <v>295</v>
      </c>
      <c r="B69" s="13" t="n">
        <v>4</v>
      </c>
      <c r="C69" s="5" t="s">
        <v>363</v>
      </c>
      <c r="D69" s="7" t="s">
        <v>364</v>
      </c>
      <c r="E69" s="5" t="s">
        <v>363</v>
      </c>
      <c r="F69" s="8" t="s">
        <v>365</v>
      </c>
      <c r="G69" s="8"/>
      <c r="H69" s="9" t="s">
        <v>366</v>
      </c>
      <c r="I69" s="5" t="s">
        <v>96</v>
      </c>
      <c r="J69" s="10" t="n">
        <v>182</v>
      </c>
      <c r="K69" s="6" t="n">
        <v>2</v>
      </c>
      <c r="L69" s="6" t="n">
        <v>22</v>
      </c>
      <c r="M69" s="11"/>
      <c r="N69" s="11"/>
      <c r="O69" s="11"/>
    </row>
    <row r="70" customFormat="false" ht="17.35" hidden="false" customHeight="false" outlineLevel="0" collapsed="false">
      <c r="A70" s="12" t="s">
        <v>295</v>
      </c>
      <c r="B70" s="13" t="n">
        <v>4</v>
      </c>
      <c r="C70" s="5" t="s">
        <v>367</v>
      </c>
      <c r="D70" s="7" t="s">
        <v>368</v>
      </c>
      <c r="E70" s="5" t="s">
        <v>367</v>
      </c>
      <c r="F70" s="8" t="s">
        <v>369</v>
      </c>
      <c r="G70" s="8"/>
      <c r="H70" s="9" t="s">
        <v>370</v>
      </c>
      <c r="I70" s="5" t="s">
        <v>96</v>
      </c>
      <c r="J70" s="10" t="n">
        <v>126</v>
      </c>
      <c r="K70" s="6" t="n">
        <v>2</v>
      </c>
      <c r="L70" s="6" t="n">
        <v>58</v>
      </c>
      <c r="M70" s="11"/>
      <c r="N70" s="11"/>
      <c r="O70" s="11"/>
    </row>
    <row r="71" customFormat="false" ht="17.35" hidden="false" customHeight="false" outlineLevel="0" collapsed="false">
      <c r="A71" s="12" t="s">
        <v>295</v>
      </c>
      <c r="B71" s="13" t="n">
        <v>4</v>
      </c>
      <c r="C71" s="5" t="s">
        <v>371</v>
      </c>
      <c r="D71" s="7" t="s">
        <v>372</v>
      </c>
      <c r="E71" s="5" t="s">
        <v>371</v>
      </c>
      <c r="F71" s="8" t="s">
        <v>373</v>
      </c>
      <c r="G71" s="8" t="s">
        <v>374</v>
      </c>
      <c r="H71" s="9" t="s">
        <v>375</v>
      </c>
      <c r="I71" s="5" t="s">
        <v>96</v>
      </c>
      <c r="J71" s="10" t="n">
        <v>293</v>
      </c>
      <c r="K71" s="6" t="n">
        <v>2</v>
      </c>
      <c r="L71" s="6" t="n">
        <v>4</v>
      </c>
      <c r="M71" s="11"/>
      <c r="N71" s="11"/>
      <c r="O71" s="11"/>
    </row>
    <row r="72" customFormat="false" ht="17.35" hidden="false" customHeight="false" outlineLevel="0" collapsed="false">
      <c r="A72" s="12" t="s">
        <v>295</v>
      </c>
      <c r="B72" s="13" t="n">
        <v>4</v>
      </c>
      <c r="C72" s="5" t="s">
        <v>376</v>
      </c>
      <c r="D72" s="7" t="s">
        <v>377</v>
      </c>
      <c r="E72" s="5" t="s">
        <v>376</v>
      </c>
      <c r="F72" s="8" t="s">
        <v>378</v>
      </c>
      <c r="G72" s="8"/>
      <c r="H72" s="9" t="s">
        <v>379</v>
      </c>
      <c r="I72" s="5" t="s">
        <v>96</v>
      </c>
      <c r="J72" s="10" t="n">
        <v>319</v>
      </c>
      <c r="K72" s="6" t="n">
        <v>2</v>
      </c>
      <c r="L72" s="6" t="n">
        <v>183</v>
      </c>
      <c r="M72" s="11"/>
      <c r="N72" s="11"/>
      <c r="O72" s="11"/>
    </row>
    <row r="73" customFormat="false" ht="17.35" hidden="false" customHeight="false" outlineLevel="0" collapsed="false">
      <c r="A73" s="12" t="s">
        <v>295</v>
      </c>
      <c r="B73" s="13" t="n">
        <v>4</v>
      </c>
      <c r="C73" s="5" t="s">
        <v>380</v>
      </c>
      <c r="D73" s="7" t="s">
        <v>381</v>
      </c>
      <c r="E73" s="5" t="s">
        <v>380</v>
      </c>
      <c r="F73" s="8" t="s">
        <v>382</v>
      </c>
      <c r="G73" s="8"/>
      <c r="H73" s="9" t="s">
        <v>383</v>
      </c>
      <c r="I73" s="5" t="s">
        <v>96</v>
      </c>
      <c r="J73" s="10" t="n">
        <v>248</v>
      </c>
      <c r="K73" s="6" t="n">
        <v>2</v>
      </c>
      <c r="L73" s="6" t="n">
        <v>27</v>
      </c>
      <c r="M73" s="11"/>
      <c r="N73" s="11"/>
      <c r="O73" s="11"/>
    </row>
    <row r="74" customFormat="false" ht="17.35" hidden="false" customHeight="false" outlineLevel="0" collapsed="false">
      <c r="A74" s="12" t="s">
        <v>295</v>
      </c>
      <c r="B74" s="13" t="n">
        <v>4</v>
      </c>
      <c r="C74" s="5" t="s">
        <v>384</v>
      </c>
      <c r="D74" s="7" t="s">
        <v>385</v>
      </c>
      <c r="E74" s="5" t="s">
        <v>386</v>
      </c>
      <c r="F74" s="8" t="s">
        <v>387</v>
      </c>
      <c r="G74" s="8"/>
      <c r="H74" s="9" t="s">
        <v>388</v>
      </c>
      <c r="I74" s="5" t="s">
        <v>96</v>
      </c>
      <c r="J74" s="10" t="n">
        <v>67</v>
      </c>
      <c r="K74" s="6" t="n">
        <v>2</v>
      </c>
      <c r="L74" s="6" t="n">
        <v>56</v>
      </c>
      <c r="M74" s="11"/>
      <c r="N74" s="11"/>
      <c r="O74" s="11"/>
    </row>
    <row r="75" customFormat="false" ht="17.35" hidden="false" customHeight="false" outlineLevel="0" collapsed="false">
      <c r="A75" s="12" t="s">
        <v>295</v>
      </c>
      <c r="B75" s="13" t="n">
        <v>4</v>
      </c>
      <c r="C75" s="5" t="s">
        <v>389</v>
      </c>
      <c r="D75" s="7" t="s">
        <v>390</v>
      </c>
      <c r="E75" s="5" t="s">
        <v>391</v>
      </c>
      <c r="F75" s="8" t="s">
        <v>392</v>
      </c>
      <c r="G75" s="8"/>
      <c r="H75" s="9" t="s">
        <v>393</v>
      </c>
      <c r="I75" s="5" t="s">
        <v>96</v>
      </c>
      <c r="J75" s="10" t="n">
        <v>104</v>
      </c>
      <c r="K75" s="6" t="n">
        <v>2</v>
      </c>
      <c r="L75" s="6" t="n">
        <v>18</v>
      </c>
      <c r="M75" s="11"/>
      <c r="N75" s="11"/>
      <c r="O75" s="11"/>
    </row>
    <row r="76" customFormat="false" ht="26.85" hidden="false" customHeight="false" outlineLevel="0" collapsed="false">
      <c r="A76" s="12" t="s">
        <v>295</v>
      </c>
      <c r="B76" s="13" t="n">
        <v>4</v>
      </c>
      <c r="C76" s="5" t="s">
        <v>394</v>
      </c>
      <c r="D76" s="7" t="s">
        <v>395</v>
      </c>
      <c r="E76" s="5" t="s">
        <v>396</v>
      </c>
      <c r="F76" s="8" t="s">
        <v>397</v>
      </c>
      <c r="G76" s="8" t="s">
        <v>398</v>
      </c>
      <c r="H76" s="9" t="s">
        <v>399</v>
      </c>
      <c r="I76" s="5" t="s">
        <v>96</v>
      </c>
      <c r="J76" s="10" t="n">
        <v>58</v>
      </c>
      <c r="K76" s="6" t="n">
        <v>2</v>
      </c>
      <c r="L76" s="6" t="n">
        <v>26</v>
      </c>
      <c r="M76" s="11"/>
      <c r="N76" s="11"/>
      <c r="O76" s="11"/>
    </row>
    <row r="77" customFormat="false" ht="17.35" hidden="false" customHeight="false" outlineLevel="0" collapsed="false">
      <c r="A77" s="12" t="s">
        <v>295</v>
      </c>
      <c r="B77" s="13" t="n">
        <v>4</v>
      </c>
      <c r="C77" s="5" t="s">
        <v>400</v>
      </c>
      <c r="D77" s="7" t="s">
        <v>401</v>
      </c>
      <c r="E77" s="5" t="s">
        <v>402</v>
      </c>
      <c r="F77" s="8" t="s">
        <v>403</v>
      </c>
      <c r="G77" s="8"/>
      <c r="H77" s="9" t="s">
        <v>404</v>
      </c>
      <c r="I77" s="5" t="s">
        <v>96</v>
      </c>
      <c r="J77" s="10" t="n">
        <v>129</v>
      </c>
      <c r="K77" s="6" t="n">
        <v>2</v>
      </c>
      <c r="L77" s="6" t="n">
        <v>50</v>
      </c>
      <c r="M77" s="11"/>
      <c r="N77" s="11"/>
      <c r="O77" s="11"/>
    </row>
    <row r="78" customFormat="false" ht="26.85" hidden="false" customHeight="false" outlineLevel="0" collapsed="false">
      <c r="A78" s="5" t="s">
        <v>405</v>
      </c>
      <c r="B78" s="6" t="n">
        <v>5</v>
      </c>
      <c r="C78" s="5" t="s">
        <v>406</v>
      </c>
      <c r="D78" s="7" t="s">
        <v>407</v>
      </c>
      <c r="E78" s="5" t="s">
        <v>408</v>
      </c>
      <c r="F78" s="8" t="s">
        <v>409</v>
      </c>
      <c r="G78" s="8" t="s">
        <v>410</v>
      </c>
      <c r="H78" s="9" t="s">
        <v>411</v>
      </c>
      <c r="I78" s="5" t="s">
        <v>96</v>
      </c>
      <c r="J78" s="10" t="n">
        <v>879</v>
      </c>
      <c r="K78" s="6" t="n">
        <v>2</v>
      </c>
      <c r="L78" s="6" t="n">
        <v>3</v>
      </c>
      <c r="M78" s="11"/>
      <c r="N78" s="11"/>
      <c r="O78" s="11"/>
    </row>
    <row r="79" customFormat="false" ht="17.35" hidden="false" customHeight="false" outlineLevel="0" collapsed="false">
      <c r="A79" s="5" t="s">
        <v>405</v>
      </c>
      <c r="B79" s="6" t="n">
        <v>5</v>
      </c>
      <c r="C79" s="5" t="s">
        <v>412</v>
      </c>
      <c r="D79" s="7" t="s">
        <v>413</v>
      </c>
      <c r="E79" s="5" t="s">
        <v>414</v>
      </c>
      <c r="F79" s="8" t="s">
        <v>415</v>
      </c>
      <c r="G79" s="8"/>
      <c r="H79" s="9" t="s">
        <v>411</v>
      </c>
      <c r="I79" s="5" t="s">
        <v>39</v>
      </c>
      <c r="J79" s="10" t="n">
        <v>879</v>
      </c>
      <c r="K79" s="6" t="n">
        <v>49</v>
      </c>
      <c r="L79" s="6" t="n">
        <v>7</v>
      </c>
      <c r="M79" s="11"/>
      <c r="N79" s="11"/>
      <c r="O79" s="11"/>
    </row>
    <row r="80" customFormat="false" ht="17.35" hidden="false" customHeight="false" outlineLevel="0" collapsed="false">
      <c r="A80" s="5" t="s">
        <v>405</v>
      </c>
      <c r="B80" s="6" t="n">
        <v>5</v>
      </c>
      <c r="C80" s="5" t="s">
        <v>416</v>
      </c>
      <c r="D80" s="7" t="s">
        <v>417</v>
      </c>
      <c r="E80" s="5" t="s">
        <v>418</v>
      </c>
      <c r="F80" s="8" t="s">
        <v>419</v>
      </c>
      <c r="G80" s="8"/>
      <c r="H80" s="9" t="s">
        <v>411</v>
      </c>
      <c r="I80" s="5" t="s">
        <v>39</v>
      </c>
      <c r="J80" s="10" t="n">
        <v>879</v>
      </c>
      <c r="K80" s="6" t="n">
        <v>2</v>
      </c>
      <c r="L80" s="6" t="n">
        <v>221</v>
      </c>
      <c r="M80" s="11"/>
      <c r="N80" s="11"/>
      <c r="O80" s="11"/>
    </row>
    <row r="81" customFormat="false" ht="26.85" hidden="false" customHeight="false" outlineLevel="0" collapsed="false">
      <c r="A81" s="5" t="s">
        <v>405</v>
      </c>
      <c r="B81" s="6" t="n">
        <v>5</v>
      </c>
      <c r="C81" s="5" t="s">
        <v>420</v>
      </c>
      <c r="D81" s="7" t="s">
        <v>421</v>
      </c>
      <c r="E81" s="5" t="s">
        <v>420</v>
      </c>
      <c r="F81" s="8" t="s">
        <v>422</v>
      </c>
      <c r="G81" s="8" t="s">
        <v>423</v>
      </c>
      <c r="H81" s="9" t="s">
        <v>424</v>
      </c>
      <c r="I81" s="5" t="s">
        <v>96</v>
      </c>
      <c r="J81" s="10" t="n">
        <v>525</v>
      </c>
      <c r="K81" s="6" t="n">
        <v>2</v>
      </c>
      <c r="L81" s="6" t="n">
        <v>6</v>
      </c>
      <c r="M81" s="11"/>
      <c r="N81" s="11"/>
      <c r="O81" s="11"/>
    </row>
    <row r="82" customFormat="false" ht="17.35" hidden="false" customHeight="false" outlineLevel="0" collapsed="false">
      <c r="A82" s="5" t="s">
        <v>405</v>
      </c>
      <c r="B82" s="6" t="n">
        <v>5</v>
      </c>
      <c r="C82" s="5" t="s">
        <v>425</v>
      </c>
      <c r="D82" s="7" t="s">
        <v>426</v>
      </c>
      <c r="E82" s="5" t="s">
        <v>427</v>
      </c>
      <c r="F82" s="8" t="s">
        <v>428</v>
      </c>
      <c r="G82" s="8"/>
      <c r="H82" s="9" t="s">
        <v>424</v>
      </c>
      <c r="I82" s="5" t="s">
        <v>39</v>
      </c>
      <c r="J82" s="10" t="n">
        <v>525</v>
      </c>
      <c r="K82" s="6" t="n">
        <v>2</v>
      </c>
      <c r="L82" s="6" t="n">
        <v>19</v>
      </c>
      <c r="M82" s="11"/>
      <c r="N82" s="11"/>
      <c r="O82" s="11"/>
    </row>
    <row r="83" customFormat="false" ht="17.35" hidden="false" customHeight="false" outlineLevel="0" collapsed="false">
      <c r="A83" s="5" t="s">
        <v>405</v>
      </c>
      <c r="B83" s="6" t="n">
        <v>5</v>
      </c>
      <c r="C83" s="5" t="s">
        <v>429</v>
      </c>
      <c r="D83" s="7" t="s">
        <v>430</v>
      </c>
      <c r="E83" s="5" t="s">
        <v>429</v>
      </c>
      <c r="F83" s="8" t="s">
        <v>431</v>
      </c>
      <c r="G83" s="8"/>
      <c r="H83" s="9" t="s">
        <v>432</v>
      </c>
      <c r="I83" s="5" t="s">
        <v>96</v>
      </c>
      <c r="J83" s="10" t="n">
        <v>168</v>
      </c>
      <c r="K83" s="6" t="n">
        <v>6</v>
      </c>
      <c r="L83" s="6" t="n">
        <v>151</v>
      </c>
      <c r="M83" s="11"/>
      <c r="N83" s="11"/>
      <c r="O83" s="11"/>
    </row>
    <row r="84" customFormat="false" ht="17.35" hidden="false" customHeight="false" outlineLevel="0" collapsed="false">
      <c r="A84" s="5" t="s">
        <v>405</v>
      </c>
      <c r="B84" s="6" t="n">
        <v>5</v>
      </c>
      <c r="C84" s="5" t="s">
        <v>433</v>
      </c>
      <c r="D84" s="7" t="s">
        <v>434</v>
      </c>
      <c r="E84" s="5" t="s">
        <v>433</v>
      </c>
      <c r="F84" s="8" t="s">
        <v>435</v>
      </c>
      <c r="G84" s="8"/>
      <c r="H84" s="9" t="s">
        <v>432</v>
      </c>
      <c r="I84" s="5" t="s">
        <v>39</v>
      </c>
      <c r="J84" s="10" t="n">
        <v>168</v>
      </c>
      <c r="K84" s="6" t="n">
        <v>9</v>
      </c>
      <c r="L84" s="6" t="n">
        <v>5</v>
      </c>
      <c r="M84" s="11"/>
      <c r="N84" s="11"/>
      <c r="O84" s="11"/>
    </row>
    <row r="85" customFormat="false" ht="17.35" hidden="false" customHeight="false" outlineLevel="0" collapsed="false">
      <c r="A85" s="5" t="s">
        <v>405</v>
      </c>
      <c r="B85" s="6" t="n">
        <v>5</v>
      </c>
      <c r="C85" s="5" t="s">
        <v>436</v>
      </c>
      <c r="D85" s="7" t="s">
        <v>437</v>
      </c>
      <c r="E85" s="5" t="s">
        <v>438</v>
      </c>
      <c r="F85" s="8" t="s">
        <v>439</v>
      </c>
      <c r="G85" s="8"/>
      <c r="H85" s="9" t="s">
        <v>440</v>
      </c>
      <c r="I85" s="5" t="s">
        <v>39</v>
      </c>
      <c r="J85" s="10" t="n">
        <v>111</v>
      </c>
      <c r="K85" s="6" t="n">
        <v>4</v>
      </c>
      <c r="L85" s="6" t="n">
        <v>138</v>
      </c>
      <c r="M85" s="11"/>
      <c r="N85" s="11"/>
      <c r="O85" s="11"/>
    </row>
    <row r="86" customFormat="false" ht="17.35" hidden="false" customHeight="false" outlineLevel="0" collapsed="false">
      <c r="A86" s="5" t="s">
        <v>405</v>
      </c>
      <c r="B86" s="6" t="n">
        <v>5</v>
      </c>
      <c r="C86" s="5" t="s">
        <v>441</v>
      </c>
      <c r="D86" s="7" t="s">
        <v>442</v>
      </c>
      <c r="E86" s="5" t="s">
        <v>441</v>
      </c>
      <c r="F86" s="8" t="s">
        <v>443</v>
      </c>
      <c r="G86" s="8"/>
      <c r="H86" s="9" t="s">
        <v>444</v>
      </c>
      <c r="I86" s="5" t="s">
        <v>96</v>
      </c>
      <c r="J86" s="10" t="n">
        <v>160</v>
      </c>
      <c r="K86" s="6" t="n">
        <v>3</v>
      </c>
      <c r="L86" s="6" t="n">
        <v>18</v>
      </c>
      <c r="M86" s="11"/>
      <c r="N86" s="11"/>
      <c r="O86" s="11"/>
    </row>
    <row r="87" customFormat="false" ht="17.35" hidden="false" customHeight="false" outlineLevel="0" collapsed="false">
      <c r="A87" s="5" t="s">
        <v>405</v>
      </c>
      <c r="B87" s="6" t="n">
        <v>5</v>
      </c>
      <c r="C87" s="5" t="s">
        <v>445</v>
      </c>
      <c r="D87" s="7" t="s">
        <v>446</v>
      </c>
      <c r="E87" s="5" t="s">
        <v>447</v>
      </c>
      <c r="F87" s="8" t="s">
        <v>448</v>
      </c>
      <c r="G87" s="8"/>
      <c r="H87" s="9" t="s">
        <v>449</v>
      </c>
      <c r="I87" s="5" t="s">
        <v>96</v>
      </c>
      <c r="J87" s="10" t="n">
        <v>155</v>
      </c>
      <c r="K87" s="6" t="n">
        <v>2</v>
      </c>
      <c r="L87" s="6" t="n">
        <v>23</v>
      </c>
      <c r="M87" s="11"/>
      <c r="N87" s="11"/>
      <c r="O87" s="11"/>
    </row>
    <row r="88" customFormat="false" ht="17.35" hidden="false" customHeight="false" outlineLevel="0" collapsed="false">
      <c r="A88" s="5" t="s">
        <v>405</v>
      </c>
      <c r="B88" s="6" t="n">
        <v>5</v>
      </c>
      <c r="C88" s="5" t="s">
        <v>450</v>
      </c>
      <c r="D88" s="7" t="s">
        <v>451</v>
      </c>
      <c r="E88" s="5" t="s">
        <v>450</v>
      </c>
      <c r="F88" s="8" t="s">
        <v>452</v>
      </c>
      <c r="G88" s="8"/>
      <c r="H88" s="9" t="s">
        <v>453</v>
      </c>
      <c r="I88" s="5" t="s">
        <v>96</v>
      </c>
      <c r="J88" s="10" t="n">
        <v>282</v>
      </c>
      <c r="K88" s="6" t="n">
        <v>55</v>
      </c>
      <c r="L88" s="6" t="n">
        <v>13</v>
      </c>
      <c r="M88" s="11"/>
      <c r="N88" s="11"/>
      <c r="O88" s="11"/>
    </row>
    <row r="89" customFormat="false" ht="17.35" hidden="false" customHeight="false" outlineLevel="0" collapsed="false">
      <c r="A89" s="5" t="s">
        <v>405</v>
      </c>
      <c r="B89" s="6" t="n">
        <v>5</v>
      </c>
      <c r="C89" s="5" t="s">
        <v>454</v>
      </c>
      <c r="D89" s="7" t="s">
        <v>455</v>
      </c>
      <c r="E89" s="5" t="s">
        <v>456</v>
      </c>
      <c r="F89" s="8" t="s">
        <v>457</v>
      </c>
      <c r="G89" s="8"/>
      <c r="H89" s="9" t="s">
        <v>201</v>
      </c>
      <c r="I89" s="5" t="s">
        <v>96</v>
      </c>
      <c r="J89" s="10" t="n">
        <v>87</v>
      </c>
      <c r="K89" s="6" t="n">
        <v>2</v>
      </c>
      <c r="L89" s="6" t="n">
        <v>37</v>
      </c>
      <c r="M89" s="11"/>
      <c r="N89" s="11"/>
      <c r="O89" s="11"/>
    </row>
    <row r="90" customFormat="false" ht="17.35" hidden="false" customHeight="false" outlineLevel="0" collapsed="false">
      <c r="A90" s="5" t="s">
        <v>405</v>
      </c>
      <c r="B90" s="6" t="n">
        <v>5</v>
      </c>
      <c r="C90" s="5" t="s">
        <v>458</v>
      </c>
      <c r="D90" s="7" t="s">
        <v>459</v>
      </c>
      <c r="E90" s="5" t="s">
        <v>458</v>
      </c>
      <c r="F90" s="8" t="s">
        <v>460</v>
      </c>
      <c r="G90" s="8"/>
      <c r="H90" s="9" t="s">
        <v>147</v>
      </c>
      <c r="I90" s="5" t="s">
        <v>96</v>
      </c>
      <c r="J90" s="10" t="n">
        <v>234</v>
      </c>
      <c r="K90" s="6" t="n">
        <v>71</v>
      </c>
      <c r="L90" s="6" t="n">
        <v>10</v>
      </c>
      <c r="M90" s="11"/>
      <c r="N90" s="11"/>
      <c r="O90" s="11"/>
    </row>
    <row r="91" customFormat="false" ht="17.35" hidden="false" customHeight="false" outlineLevel="0" collapsed="false">
      <c r="A91" s="5" t="s">
        <v>405</v>
      </c>
      <c r="B91" s="6" t="n">
        <v>5</v>
      </c>
      <c r="C91" s="5" t="s">
        <v>461</v>
      </c>
      <c r="D91" s="7" t="s">
        <v>462</v>
      </c>
      <c r="E91" s="5" t="s">
        <v>461</v>
      </c>
      <c r="F91" s="8" t="s">
        <v>463</v>
      </c>
      <c r="G91" s="8"/>
      <c r="H91" s="9" t="s">
        <v>464</v>
      </c>
      <c r="I91" s="5" t="s">
        <v>96</v>
      </c>
      <c r="J91" s="10" t="n">
        <v>70</v>
      </c>
      <c r="K91" s="6" t="n">
        <v>3</v>
      </c>
      <c r="L91" s="6" t="n">
        <v>159</v>
      </c>
      <c r="M91" s="11"/>
      <c r="N91" s="11"/>
      <c r="O91" s="11"/>
    </row>
    <row r="92" customFormat="false" ht="17.35" hidden="false" customHeight="false" outlineLevel="0" collapsed="false">
      <c r="A92" s="5" t="s">
        <v>405</v>
      </c>
      <c r="B92" s="6" t="n">
        <v>5</v>
      </c>
      <c r="C92" s="5" t="s">
        <v>465</v>
      </c>
      <c r="D92" s="7" t="s">
        <v>466</v>
      </c>
      <c r="E92" s="5" t="s">
        <v>467</v>
      </c>
      <c r="F92" s="8" t="s">
        <v>468</v>
      </c>
      <c r="G92" s="8"/>
      <c r="H92" s="9" t="s">
        <v>469</v>
      </c>
      <c r="I92" s="5" t="s">
        <v>96</v>
      </c>
      <c r="J92" s="10" t="n">
        <v>124</v>
      </c>
      <c r="K92" s="6" t="n">
        <v>2</v>
      </c>
      <c r="L92" s="6" t="n">
        <v>38</v>
      </c>
      <c r="M92" s="11"/>
      <c r="N92" s="11"/>
      <c r="O92" s="11"/>
    </row>
    <row r="93" customFormat="false" ht="26.85" hidden="false" customHeight="false" outlineLevel="0" collapsed="false">
      <c r="A93" s="5" t="s">
        <v>405</v>
      </c>
      <c r="B93" s="6" t="n">
        <v>5</v>
      </c>
      <c r="C93" s="5" t="s">
        <v>470</v>
      </c>
      <c r="D93" s="7" t="s">
        <v>471</v>
      </c>
      <c r="E93" s="5" t="s">
        <v>470</v>
      </c>
      <c r="F93" s="8" t="s">
        <v>472</v>
      </c>
      <c r="G93" s="8" t="s">
        <v>473</v>
      </c>
      <c r="H93" s="9" t="s">
        <v>474</v>
      </c>
      <c r="I93" s="5" t="s">
        <v>96</v>
      </c>
      <c r="J93" s="10" t="n">
        <v>48</v>
      </c>
      <c r="K93" s="6" t="n">
        <v>2</v>
      </c>
      <c r="L93" s="6" t="n">
        <v>74</v>
      </c>
      <c r="M93" s="11"/>
      <c r="N93" s="11"/>
      <c r="O93" s="11"/>
    </row>
    <row r="94" customFormat="false" ht="17.35" hidden="false" customHeight="false" outlineLevel="0" collapsed="false">
      <c r="A94" s="5" t="s">
        <v>405</v>
      </c>
      <c r="B94" s="6" t="n">
        <v>5</v>
      </c>
      <c r="C94" s="5" t="s">
        <v>475</v>
      </c>
      <c r="D94" s="7" t="s">
        <v>476</v>
      </c>
      <c r="E94" s="5" t="s">
        <v>477</v>
      </c>
      <c r="F94" s="8" t="s">
        <v>478</v>
      </c>
      <c r="G94" s="8"/>
      <c r="H94" s="9" t="s">
        <v>479</v>
      </c>
      <c r="I94" s="5" t="s">
        <v>96</v>
      </c>
      <c r="J94" s="10" t="n">
        <v>258</v>
      </c>
      <c r="K94" s="6" t="n">
        <v>2</v>
      </c>
      <c r="L94" s="6" t="n">
        <v>2</v>
      </c>
      <c r="M94" s="11"/>
      <c r="N94" s="11"/>
      <c r="O94" s="11"/>
    </row>
    <row r="95" customFormat="false" ht="17.35" hidden="false" customHeight="false" outlineLevel="0" collapsed="false">
      <c r="A95" s="5" t="s">
        <v>405</v>
      </c>
      <c r="B95" s="6" t="n">
        <v>5</v>
      </c>
      <c r="C95" s="5" t="s">
        <v>480</v>
      </c>
      <c r="D95" s="7" t="s">
        <v>481</v>
      </c>
      <c r="E95" s="5" t="s">
        <v>482</v>
      </c>
      <c r="F95" s="8" t="s">
        <v>483</v>
      </c>
      <c r="G95" s="8"/>
      <c r="H95" s="9" t="s">
        <v>479</v>
      </c>
      <c r="I95" s="5" t="s">
        <v>39</v>
      </c>
      <c r="J95" s="10" t="n">
        <v>258</v>
      </c>
      <c r="K95" s="6" t="n">
        <v>2</v>
      </c>
      <c r="L95" s="6" t="n">
        <v>197</v>
      </c>
      <c r="M95" s="11"/>
      <c r="N95" s="11"/>
      <c r="O95" s="11"/>
    </row>
    <row r="96" customFormat="false" ht="17.35" hidden="false" customHeight="false" outlineLevel="0" collapsed="false">
      <c r="A96" s="5" t="s">
        <v>405</v>
      </c>
      <c r="B96" s="6" t="n">
        <v>5</v>
      </c>
      <c r="C96" s="5" t="s">
        <v>484</v>
      </c>
      <c r="D96" s="7" t="s">
        <v>485</v>
      </c>
      <c r="E96" s="5" t="s">
        <v>486</v>
      </c>
      <c r="F96" s="8" t="s">
        <v>487</v>
      </c>
      <c r="G96" s="8"/>
      <c r="H96" s="9" t="s">
        <v>479</v>
      </c>
      <c r="I96" s="5" t="s">
        <v>39</v>
      </c>
      <c r="J96" s="10" t="n">
        <v>258</v>
      </c>
      <c r="K96" s="6" t="n">
        <v>2</v>
      </c>
      <c r="L96" s="6" t="n">
        <v>2</v>
      </c>
      <c r="M96" s="11"/>
      <c r="N96" s="11"/>
      <c r="O96" s="11"/>
    </row>
    <row r="97" customFormat="false" ht="26.85" hidden="false" customHeight="false" outlineLevel="0" collapsed="false">
      <c r="A97" s="12" t="s">
        <v>488</v>
      </c>
      <c r="B97" s="13" t="n">
        <v>6</v>
      </c>
      <c r="C97" s="5" t="s">
        <v>489</v>
      </c>
      <c r="D97" s="7" t="s">
        <v>490</v>
      </c>
      <c r="E97" s="5" t="s">
        <v>491</v>
      </c>
      <c r="F97" s="8" t="s">
        <v>492</v>
      </c>
      <c r="G97" s="8" t="s">
        <v>493</v>
      </c>
      <c r="H97" s="9" t="s">
        <v>379</v>
      </c>
      <c r="I97" s="5" t="s">
        <v>39</v>
      </c>
      <c r="J97" s="10" t="n">
        <v>319</v>
      </c>
      <c r="K97" s="6" t="n">
        <v>2</v>
      </c>
      <c r="L97" s="6" t="n">
        <v>2</v>
      </c>
      <c r="M97" s="11"/>
      <c r="N97" s="11"/>
      <c r="O97" s="11"/>
    </row>
    <row r="98" customFormat="false" ht="26.85" hidden="false" customHeight="false" outlineLevel="0" collapsed="false">
      <c r="A98" s="12" t="s">
        <v>488</v>
      </c>
      <c r="B98" s="13" t="n">
        <v>6</v>
      </c>
      <c r="C98" s="5" t="s">
        <v>494</v>
      </c>
      <c r="D98" s="7" t="s">
        <v>495</v>
      </c>
      <c r="E98" s="5" t="s">
        <v>496</v>
      </c>
      <c r="F98" s="8" t="s">
        <v>497</v>
      </c>
      <c r="G98" s="8" t="s">
        <v>498</v>
      </c>
      <c r="H98" s="9" t="s">
        <v>499</v>
      </c>
      <c r="I98" s="5" t="s">
        <v>39</v>
      </c>
      <c r="J98" s="10" t="n">
        <v>88</v>
      </c>
      <c r="K98" s="6" t="n">
        <v>2</v>
      </c>
      <c r="L98" s="6" t="n">
        <v>185</v>
      </c>
      <c r="M98" s="11"/>
      <c r="N98" s="11"/>
      <c r="O98" s="11"/>
    </row>
    <row r="99" customFormat="false" ht="26.85" hidden="false" customHeight="false" outlineLevel="0" collapsed="false">
      <c r="A99" s="12" t="s">
        <v>488</v>
      </c>
      <c r="B99" s="13" t="n">
        <v>6</v>
      </c>
      <c r="C99" s="5" t="s">
        <v>500</v>
      </c>
      <c r="D99" s="7" t="s">
        <v>501</v>
      </c>
      <c r="E99" s="5" t="s">
        <v>502</v>
      </c>
      <c r="F99" s="8" t="s">
        <v>503</v>
      </c>
      <c r="G99" s="8" t="s">
        <v>504</v>
      </c>
      <c r="H99" s="9" t="s">
        <v>505</v>
      </c>
      <c r="I99" s="5" t="s">
        <v>39</v>
      </c>
      <c r="J99" s="10" t="n">
        <v>597</v>
      </c>
      <c r="K99" s="6" t="n">
        <v>2</v>
      </c>
      <c r="L99" s="6" t="n">
        <v>106</v>
      </c>
      <c r="M99" s="11"/>
      <c r="N99" s="11"/>
      <c r="O99" s="11"/>
    </row>
    <row r="100" customFormat="false" ht="17.35" hidden="false" customHeight="false" outlineLevel="0" collapsed="false">
      <c r="A100" s="12" t="s">
        <v>488</v>
      </c>
      <c r="B100" s="13" t="n">
        <v>6</v>
      </c>
      <c r="C100" s="5" t="s">
        <v>506</v>
      </c>
      <c r="D100" s="7" t="s">
        <v>507</v>
      </c>
      <c r="E100" s="5" t="s">
        <v>506</v>
      </c>
      <c r="F100" s="8" t="s">
        <v>508</v>
      </c>
      <c r="G100" s="8"/>
      <c r="H100" s="9" t="s">
        <v>375</v>
      </c>
      <c r="I100" s="5" t="s">
        <v>96</v>
      </c>
      <c r="J100" s="10" t="n">
        <v>293</v>
      </c>
      <c r="K100" s="6" t="n">
        <v>2</v>
      </c>
      <c r="L100" s="6" t="n">
        <v>4</v>
      </c>
      <c r="M100" s="11"/>
      <c r="N100" s="11"/>
      <c r="O100" s="11"/>
    </row>
    <row r="101" customFormat="false" ht="17.35" hidden="false" customHeight="false" outlineLevel="0" collapsed="false">
      <c r="A101" s="12" t="s">
        <v>488</v>
      </c>
      <c r="B101" s="13" t="n">
        <v>6</v>
      </c>
      <c r="C101" s="5" t="s">
        <v>509</v>
      </c>
      <c r="D101" s="7" t="s">
        <v>510</v>
      </c>
      <c r="E101" s="5" t="s">
        <v>511</v>
      </c>
      <c r="F101" s="8" t="s">
        <v>512</v>
      </c>
      <c r="G101" s="8"/>
      <c r="H101" s="9" t="s">
        <v>513</v>
      </c>
      <c r="I101" s="5" t="s">
        <v>39</v>
      </c>
      <c r="J101" s="10" t="n">
        <v>78</v>
      </c>
      <c r="K101" s="6" t="n">
        <v>53</v>
      </c>
      <c r="L101" s="6" t="n">
        <v>4</v>
      </c>
      <c r="M101" s="11"/>
      <c r="N101" s="11"/>
      <c r="O101" s="11"/>
    </row>
    <row r="102" customFormat="false" ht="26.85" hidden="false" customHeight="false" outlineLevel="0" collapsed="false">
      <c r="A102" s="12" t="s">
        <v>488</v>
      </c>
      <c r="B102" s="13" t="n">
        <v>6</v>
      </c>
      <c r="C102" s="5" t="s">
        <v>514</v>
      </c>
      <c r="D102" s="7" t="s">
        <v>515</v>
      </c>
      <c r="E102" s="5" t="s">
        <v>514</v>
      </c>
      <c r="F102" s="8" t="s">
        <v>516</v>
      </c>
      <c r="G102" s="8" t="s">
        <v>517</v>
      </c>
      <c r="H102" s="9" t="s">
        <v>518</v>
      </c>
      <c r="I102" s="5" t="s">
        <v>39</v>
      </c>
      <c r="J102" s="10" t="n">
        <v>292</v>
      </c>
      <c r="K102" s="6" t="n">
        <v>15</v>
      </c>
      <c r="L102" s="6" t="n">
        <v>9</v>
      </c>
      <c r="M102" s="11"/>
      <c r="N102" s="11"/>
      <c r="O102" s="11"/>
    </row>
    <row r="103" customFormat="false" ht="17.35" hidden="false" customHeight="false" outlineLevel="0" collapsed="false">
      <c r="A103" s="12" t="s">
        <v>488</v>
      </c>
      <c r="B103" s="13" t="n">
        <v>6</v>
      </c>
      <c r="C103" s="5" t="s">
        <v>519</v>
      </c>
      <c r="D103" s="7" t="s">
        <v>520</v>
      </c>
      <c r="E103" s="5" t="s">
        <v>519</v>
      </c>
      <c r="F103" s="8" t="s">
        <v>521</v>
      </c>
      <c r="G103" s="8"/>
      <c r="H103" s="9" t="s">
        <v>518</v>
      </c>
      <c r="I103" s="5" t="s">
        <v>96</v>
      </c>
      <c r="J103" s="10" t="n">
        <v>292</v>
      </c>
      <c r="K103" s="6" t="n">
        <v>2</v>
      </c>
      <c r="L103" s="6" t="n">
        <v>152</v>
      </c>
      <c r="M103" s="11"/>
      <c r="N103" s="11"/>
      <c r="O103" s="11"/>
    </row>
    <row r="104" customFormat="false" ht="17.35" hidden="false" customHeight="false" outlineLevel="0" collapsed="false">
      <c r="A104" s="12" t="s">
        <v>488</v>
      </c>
      <c r="B104" s="13" t="n">
        <v>6</v>
      </c>
      <c r="C104" s="5" t="s">
        <v>522</v>
      </c>
      <c r="D104" s="7" t="s">
        <v>523</v>
      </c>
      <c r="E104" s="5" t="s">
        <v>524</v>
      </c>
      <c r="F104" s="8" t="s">
        <v>525</v>
      </c>
      <c r="G104" s="8"/>
      <c r="H104" s="9" t="s">
        <v>526</v>
      </c>
      <c r="I104" s="5" t="s">
        <v>96</v>
      </c>
      <c r="J104" s="10" t="n">
        <v>63</v>
      </c>
      <c r="K104" s="6" t="n">
        <v>2</v>
      </c>
      <c r="L104" s="6" t="n">
        <v>102</v>
      </c>
      <c r="M104" s="11"/>
      <c r="N104" s="11"/>
      <c r="O104" s="11"/>
    </row>
    <row r="105" customFormat="false" ht="17.35" hidden="false" customHeight="false" outlineLevel="0" collapsed="false">
      <c r="A105" s="12" t="s">
        <v>488</v>
      </c>
      <c r="B105" s="13" t="n">
        <v>6</v>
      </c>
      <c r="C105" s="5" t="s">
        <v>527</v>
      </c>
      <c r="D105" s="7" t="s">
        <v>528</v>
      </c>
      <c r="E105" s="5" t="s">
        <v>529</v>
      </c>
      <c r="F105" s="8" t="s">
        <v>530</v>
      </c>
      <c r="G105" s="8"/>
      <c r="H105" s="9" t="s">
        <v>499</v>
      </c>
      <c r="I105" s="5" t="s">
        <v>96</v>
      </c>
      <c r="J105" s="10" t="n">
        <v>88</v>
      </c>
      <c r="K105" s="6" t="n">
        <v>96</v>
      </c>
      <c r="L105" s="6" t="n">
        <v>1</v>
      </c>
      <c r="M105" s="11"/>
      <c r="N105" s="11"/>
      <c r="O105" s="11"/>
    </row>
    <row r="106" customFormat="false" ht="17.35" hidden="false" customHeight="false" outlineLevel="0" collapsed="false">
      <c r="A106" s="12" t="s">
        <v>488</v>
      </c>
      <c r="B106" s="13" t="n">
        <v>6</v>
      </c>
      <c r="C106" s="5" t="s">
        <v>531</v>
      </c>
      <c r="D106" s="7" t="s">
        <v>532</v>
      </c>
      <c r="E106" s="5" t="s">
        <v>533</v>
      </c>
      <c r="F106" s="8" t="s">
        <v>534</v>
      </c>
      <c r="G106" s="8"/>
      <c r="H106" s="9" t="s">
        <v>137</v>
      </c>
      <c r="I106" s="5" t="s">
        <v>39</v>
      </c>
      <c r="J106" s="10" t="n">
        <v>210</v>
      </c>
      <c r="K106" s="6" t="n">
        <v>2</v>
      </c>
      <c r="L106" s="6" t="n">
        <v>129</v>
      </c>
      <c r="M106" s="11"/>
      <c r="N106" s="11"/>
      <c r="O106" s="11"/>
    </row>
    <row r="107" customFormat="false" ht="17.35" hidden="false" customHeight="false" outlineLevel="0" collapsed="false">
      <c r="A107" s="12" t="s">
        <v>488</v>
      </c>
      <c r="B107" s="13" t="n">
        <v>6</v>
      </c>
      <c r="C107" s="5" t="s">
        <v>535</v>
      </c>
      <c r="D107" s="7" t="s">
        <v>536</v>
      </c>
      <c r="E107" s="5" t="s">
        <v>535</v>
      </c>
      <c r="F107" s="8" t="s">
        <v>537</v>
      </c>
      <c r="G107" s="8"/>
      <c r="H107" s="9" t="s">
        <v>240</v>
      </c>
      <c r="I107" s="5" t="s">
        <v>39</v>
      </c>
      <c r="J107" s="10" t="n">
        <v>523</v>
      </c>
      <c r="K107" s="6" t="n">
        <v>2</v>
      </c>
      <c r="L107" s="6" t="n">
        <v>87</v>
      </c>
      <c r="M107" s="11"/>
      <c r="N107" s="11"/>
      <c r="O107" s="11"/>
    </row>
    <row r="108" customFormat="false" ht="17.35" hidden="false" customHeight="false" outlineLevel="0" collapsed="false">
      <c r="A108" s="12" t="s">
        <v>488</v>
      </c>
      <c r="B108" s="13" t="n">
        <v>6</v>
      </c>
      <c r="C108" s="5" t="s">
        <v>538</v>
      </c>
      <c r="D108" s="7" t="s">
        <v>539</v>
      </c>
      <c r="E108" s="5" t="s">
        <v>538</v>
      </c>
      <c r="F108" s="8" t="s">
        <v>540</v>
      </c>
      <c r="G108" s="8"/>
      <c r="H108" s="9" t="s">
        <v>240</v>
      </c>
      <c r="I108" s="5" t="s">
        <v>96</v>
      </c>
      <c r="J108" s="10" t="n">
        <v>523</v>
      </c>
      <c r="K108" s="6" t="n">
        <v>2</v>
      </c>
      <c r="L108" s="6" t="n">
        <v>160</v>
      </c>
      <c r="M108" s="11"/>
      <c r="N108" s="11"/>
      <c r="O108" s="11"/>
    </row>
    <row r="109" customFormat="false" ht="17.35" hidden="false" customHeight="false" outlineLevel="0" collapsed="false">
      <c r="A109" s="12" t="s">
        <v>488</v>
      </c>
      <c r="B109" s="13" t="n">
        <v>6</v>
      </c>
      <c r="C109" s="5" t="s">
        <v>541</v>
      </c>
      <c r="D109" s="7" t="s">
        <v>542</v>
      </c>
      <c r="E109" s="5" t="s">
        <v>543</v>
      </c>
      <c r="F109" s="8" t="s">
        <v>544</v>
      </c>
      <c r="G109" s="8"/>
      <c r="H109" s="9" t="s">
        <v>74</v>
      </c>
      <c r="I109" s="5" t="s">
        <v>39</v>
      </c>
      <c r="J109" s="10" t="n">
        <v>854</v>
      </c>
      <c r="K109" s="6" t="n">
        <v>2</v>
      </c>
      <c r="L109" s="6" t="n">
        <v>32</v>
      </c>
      <c r="M109" s="11"/>
      <c r="N109" s="11"/>
      <c r="O109" s="11"/>
    </row>
    <row r="110" customFormat="false" ht="26.85" hidden="false" customHeight="false" outlineLevel="0" collapsed="false">
      <c r="A110" s="12" t="s">
        <v>488</v>
      </c>
      <c r="B110" s="13" t="n">
        <v>6</v>
      </c>
      <c r="C110" s="5" t="s">
        <v>545</v>
      </c>
      <c r="D110" s="7" t="s">
        <v>546</v>
      </c>
      <c r="E110" s="5" t="s">
        <v>547</v>
      </c>
      <c r="F110" s="8" t="s">
        <v>548</v>
      </c>
      <c r="G110" s="8" t="s">
        <v>549</v>
      </c>
      <c r="H110" s="9" t="s">
        <v>550</v>
      </c>
      <c r="I110" s="5" t="s">
        <v>39</v>
      </c>
      <c r="J110" s="10" t="n">
        <v>287</v>
      </c>
      <c r="K110" s="6" t="n">
        <v>2</v>
      </c>
      <c r="L110" s="6" t="n">
        <v>26</v>
      </c>
      <c r="M110" s="11"/>
      <c r="N110" s="11"/>
      <c r="O110" s="11"/>
    </row>
    <row r="111" customFormat="false" ht="17.35" hidden="false" customHeight="false" outlineLevel="0" collapsed="false">
      <c r="A111" s="12" t="s">
        <v>488</v>
      </c>
      <c r="B111" s="13" t="n">
        <v>6</v>
      </c>
      <c r="C111" s="5" t="s">
        <v>551</v>
      </c>
      <c r="D111" s="7" t="s">
        <v>552</v>
      </c>
      <c r="E111" s="5" t="s">
        <v>553</v>
      </c>
      <c r="F111" s="8" t="s">
        <v>554</v>
      </c>
      <c r="G111" s="8"/>
      <c r="H111" s="9" t="s">
        <v>555</v>
      </c>
      <c r="I111" s="5" t="s">
        <v>39</v>
      </c>
      <c r="J111" s="10" t="n">
        <v>36</v>
      </c>
      <c r="K111" s="6" t="n">
        <v>2</v>
      </c>
      <c r="L111" s="6" t="n">
        <v>42</v>
      </c>
      <c r="M111" s="11"/>
      <c r="N111" s="11"/>
      <c r="O111" s="11"/>
    </row>
    <row r="112" customFormat="false" ht="17.35" hidden="false" customHeight="false" outlineLevel="0" collapsed="false">
      <c r="A112" s="12" t="s">
        <v>488</v>
      </c>
      <c r="B112" s="13" t="n">
        <v>6</v>
      </c>
      <c r="C112" s="5" t="s">
        <v>556</v>
      </c>
      <c r="D112" s="7" t="s">
        <v>557</v>
      </c>
      <c r="E112" s="5" t="s">
        <v>558</v>
      </c>
      <c r="F112" s="8" t="s">
        <v>559</v>
      </c>
      <c r="G112" s="8"/>
      <c r="H112" s="9"/>
      <c r="I112" s="5" t="s">
        <v>46</v>
      </c>
      <c r="J112" s="10" t="n">
        <v>18</v>
      </c>
      <c r="K112" s="6" t="n">
        <v>3</v>
      </c>
      <c r="L112" s="6" t="n">
        <v>3</v>
      </c>
      <c r="M112" s="11"/>
      <c r="N112" s="11"/>
      <c r="O112" s="11"/>
    </row>
    <row r="113" customFormat="false" ht="17.35" hidden="false" customHeight="false" outlineLevel="0" collapsed="false">
      <c r="A113" s="12" t="s">
        <v>488</v>
      </c>
      <c r="B113" s="13" t="n">
        <v>6</v>
      </c>
      <c r="C113" s="5" t="s">
        <v>560</v>
      </c>
      <c r="D113" s="7" t="s">
        <v>561</v>
      </c>
      <c r="E113" s="5" t="s">
        <v>562</v>
      </c>
      <c r="F113" s="8" t="s">
        <v>563</v>
      </c>
      <c r="G113" s="8"/>
      <c r="H113" s="9"/>
      <c r="I113" s="5" t="s">
        <v>46</v>
      </c>
      <c r="J113" s="10" t="n">
        <v>12</v>
      </c>
      <c r="K113" s="6" t="n">
        <v>3</v>
      </c>
      <c r="L113" s="6" t="n">
        <v>3</v>
      </c>
      <c r="M113" s="11"/>
      <c r="N113" s="11"/>
      <c r="O113" s="11"/>
    </row>
    <row r="114" customFormat="false" ht="17.35" hidden="false" customHeight="false" outlineLevel="0" collapsed="false">
      <c r="A114" s="5" t="s">
        <v>564</v>
      </c>
      <c r="B114" s="6" t="n">
        <v>7</v>
      </c>
      <c r="C114" s="5" t="s">
        <v>565</v>
      </c>
      <c r="D114" s="7" t="s">
        <v>566</v>
      </c>
      <c r="E114" s="5" t="s">
        <v>565</v>
      </c>
      <c r="F114" s="8" t="s">
        <v>567</v>
      </c>
      <c r="G114" s="8"/>
      <c r="H114" s="9"/>
      <c r="I114" s="5" t="s">
        <v>568</v>
      </c>
      <c r="J114" s="10" t="n">
        <v>481</v>
      </c>
      <c r="K114" s="6" t="n">
        <v>112</v>
      </c>
      <c r="L114" s="6" t="n">
        <v>1</v>
      </c>
      <c r="M114" s="11"/>
      <c r="N114" s="11"/>
      <c r="O114" s="11"/>
    </row>
    <row r="115" customFormat="false" ht="17.35" hidden="false" customHeight="false" outlineLevel="0" collapsed="false">
      <c r="A115" s="5" t="s">
        <v>564</v>
      </c>
      <c r="B115" s="6" t="n">
        <v>7</v>
      </c>
      <c r="C115" s="5" t="s">
        <v>569</v>
      </c>
      <c r="D115" s="7" t="s">
        <v>570</v>
      </c>
      <c r="E115" s="5" t="s">
        <v>569</v>
      </c>
      <c r="F115" s="8" t="s">
        <v>571</v>
      </c>
      <c r="G115" s="8"/>
      <c r="H115" s="9"/>
      <c r="I115" s="5" t="s">
        <v>568</v>
      </c>
      <c r="J115" s="10" t="n">
        <v>63</v>
      </c>
      <c r="K115" s="6" t="n">
        <v>2</v>
      </c>
      <c r="L115" s="6" t="n">
        <v>68</v>
      </c>
      <c r="M115" s="11"/>
      <c r="N115" s="11"/>
      <c r="O115" s="11"/>
    </row>
    <row r="116" customFormat="false" ht="17.35" hidden="false" customHeight="false" outlineLevel="0" collapsed="false">
      <c r="A116" s="5" t="s">
        <v>564</v>
      </c>
      <c r="B116" s="6" t="n">
        <v>7</v>
      </c>
      <c r="C116" s="5" t="s">
        <v>572</v>
      </c>
      <c r="D116" s="7" t="s">
        <v>573</v>
      </c>
      <c r="E116" s="5" t="s">
        <v>572</v>
      </c>
      <c r="F116" s="8" t="s">
        <v>574</v>
      </c>
      <c r="G116" s="8"/>
      <c r="H116" s="9"/>
      <c r="I116" s="5" t="s">
        <v>568</v>
      </c>
      <c r="J116" s="10" t="n">
        <v>8</v>
      </c>
      <c r="K116" s="6" t="n">
        <v>2</v>
      </c>
      <c r="L116" s="6" t="n">
        <v>5</v>
      </c>
      <c r="M116" s="11"/>
      <c r="N116" s="11"/>
      <c r="O116" s="11"/>
    </row>
    <row r="117" customFormat="false" ht="17.35" hidden="false" customHeight="false" outlineLevel="0" collapsed="false">
      <c r="A117" s="5" t="s">
        <v>564</v>
      </c>
      <c r="B117" s="6" t="n">
        <v>7</v>
      </c>
      <c r="C117" s="5" t="s">
        <v>575</v>
      </c>
      <c r="D117" s="7" t="s">
        <v>576</v>
      </c>
      <c r="E117" s="5" t="s">
        <v>575</v>
      </c>
      <c r="F117" s="8" t="s">
        <v>577</v>
      </c>
      <c r="G117" s="8"/>
      <c r="H117" s="9"/>
      <c r="I117" s="5" t="s">
        <v>568</v>
      </c>
      <c r="J117" s="10" t="n">
        <v>81</v>
      </c>
      <c r="K117" s="6" t="n">
        <v>2</v>
      </c>
      <c r="L117" s="6" t="n">
        <v>32</v>
      </c>
      <c r="M117" s="11"/>
      <c r="N117" s="11"/>
      <c r="O117" s="11"/>
    </row>
    <row r="118" customFormat="false" ht="17.35" hidden="false" customHeight="false" outlineLevel="0" collapsed="false">
      <c r="A118" s="5" t="s">
        <v>564</v>
      </c>
      <c r="B118" s="6" t="n">
        <v>7</v>
      </c>
      <c r="C118" s="5" t="s">
        <v>578</v>
      </c>
      <c r="D118" s="7" t="s">
        <v>579</v>
      </c>
      <c r="E118" s="5" t="s">
        <v>580</v>
      </c>
      <c r="F118" s="8" t="s">
        <v>581</v>
      </c>
      <c r="G118" s="8"/>
      <c r="H118" s="9"/>
      <c r="I118" s="5" t="s">
        <v>568</v>
      </c>
      <c r="J118" s="10" t="n">
        <v>68</v>
      </c>
      <c r="K118" s="6" t="n">
        <v>2</v>
      </c>
      <c r="L118" s="6" t="n">
        <v>258</v>
      </c>
      <c r="M118" s="11"/>
      <c r="N118" s="11"/>
      <c r="O118" s="11"/>
    </row>
    <row r="119" customFormat="false" ht="17.35" hidden="false" customHeight="false" outlineLevel="0" collapsed="false">
      <c r="A119" s="5" t="s">
        <v>564</v>
      </c>
      <c r="B119" s="6" t="n">
        <v>7</v>
      </c>
      <c r="C119" s="5" t="s">
        <v>582</v>
      </c>
      <c r="D119" s="7" t="s">
        <v>583</v>
      </c>
      <c r="E119" s="5" t="s">
        <v>584</v>
      </c>
      <c r="F119" s="8" t="s">
        <v>585</v>
      </c>
      <c r="G119" s="8"/>
      <c r="H119" s="9"/>
      <c r="I119" s="5" t="s">
        <v>568</v>
      </c>
      <c r="J119" s="10" t="n">
        <v>86</v>
      </c>
      <c r="K119" s="6" t="n">
        <v>15</v>
      </c>
      <c r="L119" s="6" t="n">
        <v>9</v>
      </c>
      <c r="M119" s="11"/>
      <c r="N119" s="11"/>
      <c r="O119" s="11"/>
    </row>
    <row r="120" customFormat="false" ht="17.35" hidden="false" customHeight="false" outlineLevel="0" collapsed="false">
      <c r="A120" s="5" t="s">
        <v>564</v>
      </c>
      <c r="B120" s="6" t="n">
        <v>7</v>
      </c>
      <c r="C120" s="5" t="s">
        <v>586</v>
      </c>
      <c r="D120" s="7" t="s">
        <v>587</v>
      </c>
      <c r="E120" s="5" t="s">
        <v>588</v>
      </c>
      <c r="F120" s="8" t="s">
        <v>589</v>
      </c>
      <c r="G120" s="8"/>
      <c r="H120" s="9"/>
      <c r="I120" s="5" t="s">
        <v>568</v>
      </c>
      <c r="J120" s="10" t="n">
        <v>190</v>
      </c>
      <c r="K120" s="6" t="n">
        <v>2</v>
      </c>
      <c r="L120" s="6" t="n">
        <v>25</v>
      </c>
      <c r="M120" s="11"/>
      <c r="N120" s="11"/>
      <c r="O120" s="11"/>
    </row>
    <row r="121" customFormat="false" ht="17.35" hidden="false" customHeight="false" outlineLevel="0" collapsed="false">
      <c r="A121" s="5" t="s">
        <v>564</v>
      </c>
      <c r="B121" s="6" t="n">
        <v>7</v>
      </c>
      <c r="C121" s="5" t="s">
        <v>590</v>
      </c>
      <c r="D121" s="7" t="s">
        <v>591</v>
      </c>
      <c r="E121" s="5" t="s">
        <v>592</v>
      </c>
      <c r="F121" s="8" t="s">
        <v>593</v>
      </c>
      <c r="G121" s="8"/>
      <c r="H121" s="9"/>
      <c r="I121" s="5" t="s">
        <v>568</v>
      </c>
      <c r="J121" s="10" t="n">
        <v>46</v>
      </c>
      <c r="K121" s="6" t="n">
        <v>2</v>
      </c>
      <c r="L121" s="6" t="n">
        <v>35</v>
      </c>
      <c r="M121" s="11"/>
      <c r="N121" s="11"/>
      <c r="O121" s="11"/>
    </row>
    <row r="122" customFormat="false" ht="26.85" hidden="false" customHeight="false" outlineLevel="0" collapsed="false">
      <c r="A122" s="5" t="s">
        <v>564</v>
      </c>
      <c r="B122" s="6" t="n">
        <v>7</v>
      </c>
      <c r="C122" s="5" t="s">
        <v>594</v>
      </c>
      <c r="D122" s="7" t="s">
        <v>595</v>
      </c>
      <c r="E122" s="5" t="s">
        <v>596</v>
      </c>
      <c r="F122" s="8" t="s">
        <v>597</v>
      </c>
      <c r="G122" s="8" t="s">
        <v>598</v>
      </c>
      <c r="H122" s="9"/>
      <c r="I122" s="5" t="s">
        <v>568</v>
      </c>
      <c r="J122" s="10" t="n">
        <v>280</v>
      </c>
      <c r="K122" s="6" t="n">
        <v>2</v>
      </c>
      <c r="L122" s="6" t="n">
        <v>2</v>
      </c>
      <c r="M122" s="11"/>
      <c r="N122" s="11"/>
      <c r="O122" s="11"/>
    </row>
    <row r="123" customFormat="false" ht="17.35" hidden="false" customHeight="false" outlineLevel="0" collapsed="false">
      <c r="A123" s="5" t="s">
        <v>564</v>
      </c>
      <c r="B123" s="6" t="n">
        <v>7</v>
      </c>
      <c r="C123" s="5" t="s">
        <v>599</v>
      </c>
      <c r="D123" s="7" t="s">
        <v>600</v>
      </c>
      <c r="E123" s="5" t="s">
        <v>599</v>
      </c>
      <c r="F123" s="8" t="s">
        <v>601</v>
      </c>
      <c r="G123" s="8"/>
      <c r="H123" s="9"/>
      <c r="I123" s="5" t="s">
        <v>568</v>
      </c>
      <c r="J123" s="10" t="n">
        <v>28</v>
      </c>
      <c r="K123" s="6" t="n">
        <v>2</v>
      </c>
      <c r="L123" s="6" t="n">
        <v>134</v>
      </c>
      <c r="M123" s="11"/>
      <c r="N123" s="11"/>
      <c r="O123" s="11"/>
    </row>
    <row r="124" customFormat="false" ht="26.85" hidden="false" customHeight="false" outlineLevel="0" collapsed="false">
      <c r="A124" s="5" t="s">
        <v>564</v>
      </c>
      <c r="B124" s="6" t="n">
        <v>7</v>
      </c>
      <c r="C124" s="5" t="s">
        <v>602</v>
      </c>
      <c r="D124" s="7" t="s">
        <v>603</v>
      </c>
      <c r="E124" s="5" t="s">
        <v>604</v>
      </c>
      <c r="F124" s="8" t="s">
        <v>605</v>
      </c>
      <c r="G124" s="8" t="s">
        <v>606</v>
      </c>
      <c r="H124" s="9"/>
      <c r="I124" s="5" t="s">
        <v>568</v>
      </c>
      <c r="J124" s="10" t="n">
        <v>133</v>
      </c>
      <c r="K124" s="6" t="n">
        <v>2</v>
      </c>
      <c r="L124" s="6" t="n">
        <v>5</v>
      </c>
      <c r="M124" s="11"/>
      <c r="N124" s="11"/>
      <c r="O124" s="11"/>
    </row>
    <row r="125" customFormat="false" ht="17.35" hidden="false" customHeight="false" outlineLevel="0" collapsed="false">
      <c r="A125" s="5" t="s">
        <v>564</v>
      </c>
      <c r="B125" s="6" t="n">
        <v>7</v>
      </c>
      <c r="C125" s="5" t="s">
        <v>607</v>
      </c>
      <c r="D125" s="7" t="s">
        <v>608</v>
      </c>
      <c r="E125" s="5" t="s">
        <v>609</v>
      </c>
      <c r="F125" s="8" t="s">
        <v>610</v>
      </c>
      <c r="G125" s="8"/>
      <c r="H125" s="9"/>
      <c r="I125" s="5" t="s">
        <v>568</v>
      </c>
      <c r="J125" s="10" t="n">
        <v>1468</v>
      </c>
      <c r="K125" s="6" t="n">
        <v>2</v>
      </c>
      <c r="L125" s="6" t="n">
        <v>17</v>
      </c>
      <c r="M125" s="11"/>
      <c r="N125" s="11"/>
      <c r="O125" s="11"/>
    </row>
    <row r="126" customFormat="false" ht="17.35" hidden="false" customHeight="false" outlineLevel="0" collapsed="false">
      <c r="A126" s="5" t="s">
        <v>564</v>
      </c>
      <c r="B126" s="6" t="n">
        <v>7</v>
      </c>
      <c r="C126" s="5" t="s">
        <v>611</v>
      </c>
      <c r="D126" s="7" t="s">
        <v>612</v>
      </c>
      <c r="E126" s="5" t="s">
        <v>613</v>
      </c>
      <c r="F126" s="8" t="s">
        <v>614</v>
      </c>
      <c r="G126" s="8"/>
      <c r="H126" s="9"/>
      <c r="I126" s="5" t="s">
        <v>568</v>
      </c>
      <c r="J126" s="10" t="n">
        <v>1000</v>
      </c>
      <c r="K126" s="6" t="n">
        <v>2</v>
      </c>
      <c r="L126" s="6" t="n">
        <v>3</v>
      </c>
      <c r="M126" s="11"/>
      <c r="N126" s="11"/>
      <c r="O126" s="11"/>
    </row>
    <row r="127" customFormat="false" ht="17.35" hidden="false" customHeight="false" outlineLevel="0" collapsed="false">
      <c r="A127" s="5" t="s">
        <v>564</v>
      </c>
      <c r="B127" s="6" t="n">
        <v>7</v>
      </c>
      <c r="C127" s="5" t="s">
        <v>615</v>
      </c>
      <c r="D127" s="7" t="s">
        <v>616</v>
      </c>
      <c r="E127" s="5" t="s">
        <v>617</v>
      </c>
      <c r="F127" s="8" t="s">
        <v>618</v>
      </c>
      <c r="G127" s="8"/>
      <c r="H127" s="9"/>
      <c r="I127" s="5" t="s">
        <v>568</v>
      </c>
      <c r="J127" s="10" t="n">
        <v>77</v>
      </c>
      <c r="K127" s="6" t="n">
        <v>2</v>
      </c>
      <c r="L127" s="6" t="n">
        <v>24</v>
      </c>
      <c r="M127" s="11"/>
      <c r="N127" s="11"/>
      <c r="O127" s="11"/>
    </row>
    <row r="128" customFormat="false" ht="26.85" hidden="false" customHeight="false" outlineLevel="0" collapsed="false">
      <c r="A128" s="5" t="s">
        <v>564</v>
      </c>
      <c r="B128" s="6" t="n">
        <v>7</v>
      </c>
      <c r="C128" s="5" t="s">
        <v>619</v>
      </c>
      <c r="D128" s="7" t="s">
        <v>620</v>
      </c>
      <c r="E128" s="5" t="s">
        <v>619</v>
      </c>
      <c r="F128" s="8" t="s">
        <v>621</v>
      </c>
      <c r="G128" s="8" t="s">
        <v>622</v>
      </c>
      <c r="H128" s="9"/>
      <c r="I128" s="5" t="s">
        <v>568</v>
      </c>
      <c r="J128" s="10" t="n">
        <v>4083</v>
      </c>
      <c r="K128" s="6" t="n">
        <v>2</v>
      </c>
      <c r="L128" s="6" t="n">
        <v>8</v>
      </c>
      <c r="M128" s="11"/>
      <c r="N128" s="11"/>
      <c r="O128" s="11"/>
    </row>
    <row r="129" customFormat="false" ht="26.85" hidden="false" customHeight="false" outlineLevel="0" collapsed="false">
      <c r="A129" s="5" t="s">
        <v>564</v>
      </c>
      <c r="B129" s="6" t="n">
        <v>7</v>
      </c>
      <c r="C129" s="5" t="s">
        <v>623</v>
      </c>
      <c r="D129" s="7" t="s">
        <v>624</v>
      </c>
      <c r="E129" s="5" t="s">
        <v>625</v>
      </c>
      <c r="F129" s="8" t="s">
        <v>626</v>
      </c>
      <c r="G129" s="8" t="s">
        <v>627</v>
      </c>
      <c r="H129" s="9"/>
      <c r="I129" s="5" t="s">
        <v>216</v>
      </c>
      <c r="J129" s="10" t="n">
        <v>2565</v>
      </c>
      <c r="K129" s="6" t="n">
        <v>2</v>
      </c>
      <c r="L129" s="6" t="n">
        <v>3</v>
      </c>
      <c r="M129" s="11"/>
      <c r="N129" s="11"/>
      <c r="O129" s="11"/>
    </row>
    <row r="130" customFormat="false" ht="17.35" hidden="false" customHeight="false" outlineLevel="0" collapsed="false">
      <c r="A130" s="5" t="s">
        <v>564</v>
      </c>
      <c r="B130" s="6" t="n">
        <v>7</v>
      </c>
      <c r="C130" s="5" t="s">
        <v>628</v>
      </c>
      <c r="D130" s="7" t="s">
        <v>629</v>
      </c>
      <c r="E130" s="5" t="s">
        <v>628</v>
      </c>
      <c r="F130" s="8" t="s">
        <v>630</v>
      </c>
      <c r="G130" s="8"/>
      <c r="H130" s="9" t="s">
        <v>631</v>
      </c>
      <c r="I130" s="5" t="s">
        <v>39</v>
      </c>
      <c r="J130" s="10" t="n">
        <v>377</v>
      </c>
      <c r="K130" s="6" t="n">
        <v>2</v>
      </c>
      <c r="L130" s="6" t="n">
        <v>20</v>
      </c>
      <c r="M130" s="11"/>
      <c r="N130" s="11"/>
      <c r="O130" s="11"/>
    </row>
    <row r="131" customFormat="false" ht="17.35" hidden="false" customHeight="false" outlineLevel="0" collapsed="false">
      <c r="A131" s="5" t="s">
        <v>564</v>
      </c>
      <c r="B131" s="6" t="n">
        <v>7</v>
      </c>
      <c r="C131" s="5" t="s">
        <v>632</v>
      </c>
      <c r="D131" s="7" t="s">
        <v>633</v>
      </c>
      <c r="E131" s="5" t="s">
        <v>634</v>
      </c>
      <c r="F131" s="8" t="s">
        <v>635</v>
      </c>
      <c r="G131" s="8"/>
      <c r="H131" s="9" t="s">
        <v>636</v>
      </c>
      <c r="I131" s="5" t="s">
        <v>39</v>
      </c>
      <c r="J131" s="10" t="n">
        <v>158</v>
      </c>
      <c r="K131" s="6" t="n">
        <v>2</v>
      </c>
      <c r="L131" s="6" t="n">
        <v>36</v>
      </c>
      <c r="M131" s="11"/>
      <c r="N131" s="11"/>
      <c r="O131" s="11"/>
    </row>
    <row r="132" customFormat="false" ht="17.35" hidden="false" customHeight="false" outlineLevel="0" collapsed="false">
      <c r="A132" s="12" t="s">
        <v>637</v>
      </c>
      <c r="B132" s="13" t="n">
        <v>8</v>
      </c>
      <c r="C132" s="5" t="s">
        <v>638</v>
      </c>
      <c r="D132" s="7" t="s">
        <v>639</v>
      </c>
      <c r="E132" s="5" t="s">
        <v>640</v>
      </c>
      <c r="F132" s="8" t="s">
        <v>641</v>
      </c>
      <c r="G132" s="8"/>
      <c r="H132" s="9" t="s">
        <v>642</v>
      </c>
      <c r="I132" s="5" t="s">
        <v>39</v>
      </c>
      <c r="J132" s="10" t="n">
        <v>250</v>
      </c>
      <c r="K132" s="6" t="n">
        <v>2</v>
      </c>
      <c r="L132" s="6" t="n">
        <v>4</v>
      </c>
      <c r="M132" s="11"/>
      <c r="N132" s="11"/>
      <c r="O132" s="11"/>
    </row>
    <row r="133" customFormat="false" ht="26.85" hidden="false" customHeight="false" outlineLevel="0" collapsed="false">
      <c r="A133" s="12" t="s">
        <v>637</v>
      </c>
      <c r="B133" s="13" t="n">
        <v>8</v>
      </c>
      <c r="C133" s="5" t="s">
        <v>643</v>
      </c>
      <c r="D133" s="7" t="s">
        <v>644</v>
      </c>
      <c r="E133" s="5" t="s">
        <v>645</v>
      </c>
      <c r="F133" s="8" t="s">
        <v>646</v>
      </c>
      <c r="G133" s="8" t="s">
        <v>647</v>
      </c>
      <c r="H133" s="9" t="s">
        <v>648</v>
      </c>
      <c r="I133" s="5" t="s">
        <v>39</v>
      </c>
      <c r="J133" s="10" t="n">
        <v>133</v>
      </c>
      <c r="K133" s="6" t="n">
        <v>2</v>
      </c>
      <c r="L133" s="6" t="n">
        <v>85</v>
      </c>
      <c r="M133" s="11"/>
      <c r="N133" s="11"/>
      <c r="O133" s="11"/>
    </row>
    <row r="134" customFormat="false" ht="17.35" hidden="false" customHeight="false" outlineLevel="0" collapsed="false">
      <c r="A134" s="12" t="s">
        <v>637</v>
      </c>
      <c r="B134" s="13" t="n">
        <v>8</v>
      </c>
      <c r="C134" s="5" t="s">
        <v>649</v>
      </c>
      <c r="D134" s="7" t="s">
        <v>650</v>
      </c>
      <c r="E134" s="5" t="s">
        <v>651</v>
      </c>
      <c r="F134" s="8" t="s">
        <v>652</v>
      </c>
      <c r="G134" s="8"/>
      <c r="H134" s="9" t="s">
        <v>117</v>
      </c>
      <c r="I134" s="5" t="s">
        <v>39</v>
      </c>
      <c r="J134" s="10" t="n">
        <v>660</v>
      </c>
      <c r="K134" s="6" t="n">
        <v>2</v>
      </c>
      <c r="L134" s="6" t="n">
        <v>85</v>
      </c>
      <c r="M134" s="11"/>
      <c r="N134" s="11"/>
      <c r="O134" s="11"/>
    </row>
    <row r="135" customFormat="false" ht="17.35" hidden="false" customHeight="false" outlineLevel="0" collapsed="false">
      <c r="A135" s="12" t="s">
        <v>637</v>
      </c>
      <c r="B135" s="13" t="n">
        <v>8</v>
      </c>
      <c r="C135" s="5" t="s">
        <v>653</v>
      </c>
      <c r="D135" s="7" t="s">
        <v>654</v>
      </c>
      <c r="E135" s="5" t="s">
        <v>655</v>
      </c>
      <c r="F135" s="8" t="s">
        <v>656</v>
      </c>
      <c r="G135" s="8" t="s">
        <v>657</v>
      </c>
      <c r="H135" s="9" t="s">
        <v>658</v>
      </c>
      <c r="I135" s="5" t="s">
        <v>39</v>
      </c>
      <c r="J135" s="10" t="n">
        <v>49</v>
      </c>
      <c r="K135" s="6" t="n">
        <v>7</v>
      </c>
      <c r="L135" s="6" t="n">
        <v>187</v>
      </c>
      <c r="M135" s="11"/>
      <c r="N135" s="11"/>
      <c r="O135" s="11"/>
    </row>
    <row r="136" customFormat="false" ht="26.85" hidden="false" customHeight="false" outlineLevel="0" collapsed="false">
      <c r="A136" s="12" t="s">
        <v>637</v>
      </c>
      <c r="B136" s="13" t="n">
        <v>8</v>
      </c>
      <c r="C136" s="5" t="s">
        <v>659</v>
      </c>
      <c r="D136" s="7" t="s">
        <v>660</v>
      </c>
      <c r="E136" s="5" t="s">
        <v>659</v>
      </c>
      <c r="F136" s="8" t="s">
        <v>661</v>
      </c>
      <c r="G136" s="8" t="s">
        <v>662</v>
      </c>
      <c r="H136" s="9" t="s">
        <v>663</v>
      </c>
      <c r="I136" s="5" t="s">
        <v>39</v>
      </c>
      <c r="J136" s="10" t="n">
        <v>201</v>
      </c>
      <c r="K136" s="6" t="n">
        <v>2</v>
      </c>
      <c r="L136" s="6" t="n">
        <v>25</v>
      </c>
      <c r="M136" s="11"/>
      <c r="N136" s="11"/>
      <c r="O136" s="11"/>
    </row>
    <row r="137" customFormat="false" ht="17.35" hidden="false" customHeight="false" outlineLevel="0" collapsed="false">
      <c r="A137" s="12" t="s">
        <v>637</v>
      </c>
      <c r="B137" s="13" t="n">
        <v>8</v>
      </c>
      <c r="C137" s="5" t="s">
        <v>664</v>
      </c>
      <c r="D137" s="7" t="s">
        <v>665</v>
      </c>
      <c r="E137" s="5" t="s">
        <v>666</v>
      </c>
      <c r="F137" s="8" t="s">
        <v>667</v>
      </c>
      <c r="G137" s="8"/>
      <c r="H137" s="9" t="s">
        <v>211</v>
      </c>
      <c r="I137" s="5" t="s">
        <v>39</v>
      </c>
      <c r="J137" s="10" t="n">
        <v>194</v>
      </c>
      <c r="K137" s="6" t="n">
        <v>2</v>
      </c>
      <c r="L137" s="6" t="n">
        <v>24</v>
      </c>
      <c r="M137" s="11"/>
      <c r="N137" s="11"/>
      <c r="O137" s="11"/>
    </row>
    <row r="138" customFormat="false" ht="17.35" hidden="false" customHeight="false" outlineLevel="0" collapsed="false">
      <c r="A138" s="12" t="s">
        <v>637</v>
      </c>
      <c r="B138" s="13" t="n">
        <v>8</v>
      </c>
      <c r="C138" s="5" t="s">
        <v>668</v>
      </c>
      <c r="D138" s="7" t="s">
        <v>669</v>
      </c>
      <c r="E138" s="5" t="s">
        <v>668</v>
      </c>
      <c r="F138" s="8" t="s">
        <v>670</v>
      </c>
      <c r="G138" s="8"/>
      <c r="H138" s="9"/>
      <c r="I138" s="5" t="s">
        <v>46</v>
      </c>
      <c r="J138" s="10" t="n">
        <v>77</v>
      </c>
      <c r="K138" s="6" t="n">
        <v>2</v>
      </c>
      <c r="L138" s="6" t="n">
        <v>206</v>
      </c>
      <c r="M138" s="11"/>
      <c r="N138" s="11"/>
      <c r="O138" s="11"/>
    </row>
    <row r="139" customFormat="false" ht="26.85" hidden="false" customHeight="false" outlineLevel="0" collapsed="false">
      <c r="A139" s="12" t="s">
        <v>637</v>
      </c>
      <c r="B139" s="13" t="n">
        <v>8</v>
      </c>
      <c r="C139" s="5" t="s">
        <v>671</v>
      </c>
      <c r="D139" s="7" t="s">
        <v>672</v>
      </c>
      <c r="E139" s="5" t="s">
        <v>673</v>
      </c>
      <c r="F139" s="8" t="s">
        <v>674</v>
      </c>
      <c r="G139" s="8" t="s">
        <v>675</v>
      </c>
      <c r="H139" s="9" t="s">
        <v>676</v>
      </c>
      <c r="I139" s="5" t="s">
        <v>39</v>
      </c>
      <c r="J139" s="10" t="n">
        <v>373</v>
      </c>
      <c r="K139" s="6" t="n">
        <v>2</v>
      </c>
      <c r="L139" s="6" t="n">
        <v>7</v>
      </c>
      <c r="M139" s="11"/>
      <c r="N139" s="11"/>
      <c r="O139" s="11"/>
    </row>
    <row r="140" customFormat="false" ht="17.35" hidden="false" customHeight="false" outlineLevel="0" collapsed="false">
      <c r="A140" s="12" t="s">
        <v>637</v>
      </c>
      <c r="B140" s="13" t="n">
        <v>8</v>
      </c>
      <c r="C140" s="5" t="s">
        <v>677</v>
      </c>
      <c r="D140" s="7" t="s">
        <v>678</v>
      </c>
      <c r="E140" s="5" t="s">
        <v>679</v>
      </c>
      <c r="F140" s="8" t="s">
        <v>680</v>
      </c>
      <c r="G140" s="8"/>
      <c r="H140" s="9" t="s">
        <v>681</v>
      </c>
      <c r="I140" s="5" t="s">
        <v>39</v>
      </c>
      <c r="J140" s="10" t="n">
        <v>109</v>
      </c>
      <c r="K140" s="6" t="n">
        <v>13</v>
      </c>
      <c r="L140" s="6" t="n">
        <v>40</v>
      </c>
      <c r="M140" s="11"/>
      <c r="N140" s="11"/>
      <c r="O140" s="11"/>
    </row>
    <row r="141" customFormat="false" ht="17.35" hidden="false" customHeight="false" outlineLevel="0" collapsed="false">
      <c r="A141" s="12" t="s">
        <v>637</v>
      </c>
      <c r="B141" s="13" t="n">
        <v>8</v>
      </c>
      <c r="C141" s="5" t="s">
        <v>682</v>
      </c>
      <c r="D141" s="7" t="s">
        <v>683</v>
      </c>
      <c r="E141" s="5" t="s">
        <v>682</v>
      </c>
      <c r="F141" s="8" t="s">
        <v>684</v>
      </c>
      <c r="G141" s="8"/>
      <c r="H141" s="9" t="s">
        <v>685</v>
      </c>
      <c r="I141" s="5" t="s">
        <v>39</v>
      </c>
      <c r="J141" s="10" t="n">
        <v>165</v>
      </c>
      <c r="K141" s="6" t="n">
        <v>3</v>
      </c>
      <c r="L141" s="6" t="n">
        <v>185</v>
      </c>
      <c r="M141" s="11"/>
      <c r="N141" s="11"/>
      <c r="O141" s="11"/>
    </row>
    <row r="142" customFormat="false" ht="17.35" hidden="false" customHeight="false" outlineLevel="0" collapsed="false">
      <c r="A142" s="12" t="s">
        <v>637</v>
      </c>
      <c r="B142" s="13" t="n">
        <v>8</v>
      </c>
      <c r="C142" s="5" t="s">
        <v>686</v>
      </c>
      <c r="D142" s="7" t="s">
        <v>687</v>
      </c>
      <c r="E142" s="5" t="s">
        <v>688</v>
      </c>
      <c r="F142" s="8" t="s">
        <v>689</v>
      </c>
      <c r="G142" s="8"/>
      <c r="H142" s="9" t="s">
        <v>685</v>
      </c>
      <c r="I142" s="5" t="s">
        <v>96</v>
      </c>
      <c r="J142" s="10" t="n">
        <v>165</v>
      </c>
      <c r="K142" s="6" t="n">
        <v>2</v>
      </c>
      <c r="L142" s="6" t="n">
        <v>132</v>
      </c>
      <c r="M142" s="11"/>
      <c r="N142" s="11"/>
      <c r="O142" s="11"/>
    </row>
    <row r="143" customFormat="false" ht="17.35" hidden="false" customHeight="false" outlineLevel="0" collapsed="false">
      <c r="A143" s="12" t="s">
        <v>637</v>
      </c>
      <c r="B143" s="13" t="n">
        <v>8</v>
      </c>
      <c r="C143" s="5" t="s">
        <v>690</v>
      </c>
      <c r="D143" s="7" t="s">
        <v>691</v>
      </c>
      <c r="E143" s="5" t="s">
        <v>692</v>
      </c>
      <c r="F143" s="8" t="s">
        <v>693</v>
      </c>
      <c r="G143" s="8"/>
      <c r="H143" s="9" t="s">
        <v>192</v>
      </c>
      <c r="I143" s="5" t="s">
        <v>39</v>
      </c>
      <c r="J143" s="10" t="n">
        <v>189</v>
      </c>
      <c r="K143" s="6" t="n">
        <v>2</v>
      </c>
      <c r="L143" s="6" t="n">
        <v>85</v>
      </c>
      <c r="M143" s="11"/>
      <c r="N143" s="11"/>
      <c r="O143" s="11"/>
    </row>
    <row r="144" customFormat="false" ht="17.35" hidden="false" customHeight="false" outlineLevel="0" collapsed="false">
      <c r="A144" s="12" t="s">
        <v>637</v>
      </c>
      <c r="B144" s="13" t="n">
        <v>8</v>
      </c>
      <c r="C144" s="5" t="s">
        <v>694</v>
      </c>
      <c r="D144" s="7" t="s">
        <v>695</v>
      </c>
      <c r="E144" s="5" t="s">
        <v>696</v>
      </c>
      <c r="F144" s="8" t="s">
        <v>697</v>
      </c>
      <c r="G144" s="8"/>
      <c r="H144" s="9" t="s">
        <v>192</v>
      </c>
      <c r="I144" s="5" t="s">
        <v>96</v>
      </c>
      <c r="J144" s="10" t="n">
        <v>189</v>
      </c>
      <c r="K144" s="6" t="n">
        <v>2</v>
      </c>
      <c r="L144" s="6" t="n">
        <v>73</v>
      </c>
      <c r="M144" s="11"/>
      <c r="N144" s="11"/>
      <c r="O144" s="11"/>
    </row>
    <row r="145" customFormat="false" ht="17.35" hidden="false" customHeight="false" outlineLevel="0" collapsed="false">
      <c r="A145" s="12" t="s">
        <v>637</v>
      </c>
      <c r="B145" s="13" t="n">
        <v>8</v>
      </c>
      <c r="C145" s="5" t="s">
        <v>698</v>
      </c>
      <c r="D145" s="7" t="s">
        <v>699</v>
      </c>
      <c r="E145" s="5" t="s">
        <v>700</v>
      </c>
      <c r="F145" s="8" t="s">
        <v>701</v>
      </c>
      <c r="G145" s="8"/>
      <c r="H145" s="9" t="s">
        <v>702</v>
      </c>
      <c r="I145" s="5" t="s">
        <v>58</v>
      </c>
      <c r="J145" s="10" t="n">
        <v>87</v>
      </c>
      <c r="K145" s="6" t="n">
        <v>2</v>
      </c>
      <c r="L145" s="6" t="n">
        <v>25</v>
      </c>
      <c r="M145" s="11"/>
      <c r="N145" s="11"/>
      <c r="O145" s="11"/>
    </row>
    <row r="146" customFormat="false" ht="17.35" hidden="false" customHeight="false" outlineLevel="0" collapsed="false">
      <c r="A146" s="12" t="s">
        <v>637</v>
      </c>
      <c r="B146" s="13" t="n">
        <v>8</v>
      </c>
      <c r="C146" s="5" t="s">
        <v>703</v>
      </c>
      <c r="D146" s="7" t="s">
        <v>704</v>
      </c>
      <c r="E146" s="5" t="s">
        <v>705</v>
      </c>
      <c r="F146" s="8" t="s">
        <v>706</v>
      </c>
      <c r="G146" s="8"/>
      <c r="H146" s="9" t="s">
        <v>707</v>
      </c>
      <c r="I146" s="5" t="s">
        <v>216</v>
      </c>
      <c r="J146" s="10" t="n">
        <v>28</v>
      </c>
      <c r="K146" s="6" t="n">
        <v>4</v>
      </c>
      <c r="L146" s="6" t="n">
        <v>57</v>
      </c>
      <c r="M146" s="11"/>
      <c r="N146" s="11"/>
      <c r="O146" s="11"/>
    </row>
    <row r="147" customFormat="false" ht="26.85" hidden="false" customHeight="false" outlineLevel="0" collapsed="false">
      <c r="A147" s="12" t="s">
        <v>637</v>
      </c>
      <c r="B147" s="13" t="n">
        <v>8</v>
      </c>
      <c r="C147" s="5" t="s">
        <v>708</v>
      </c>
      <c r="D147" s="7" t="s">
        <v>709</v>
      </c>
      <c r="E147" s="5" t="s">
        <v>710</v>
      </c>
      <c r="F147" s="8" t="s">
        <v>711</v>
      </c>
      <c r="G147" s="8" t="s">
        <v>712</v>
      </c>
      <c r="H147" s="9" t="s">
        <v>713</v>
      </c>
      <c r="I147" s="5" t="s">
        <v>39</v>
      </c>
      <c r="J147" s="10" t="n">
        <v>57</v>
      </c>
      <c r="K147" s="6" t="n">
        <v>17</v>
      </c>
      <c r="L147" s="6" t="n">
        <v>85</v>
      </c>
      <c r="M147" s="11"/>
      <c r="N147" s="11"/>
      <c r="O147" s="11"/>
    </row>
    <row r="148" customFormat="false" ht="26.85" hidden="false" customHeight="false" outlineLevel="0" collapsed="false">
      <c r="A148" s="12" t="s">
        <v>637</v>
      </c>
      <c r="B148" s="13" t="n">
        <v>8</v>
      </c>
      <c r="C148" s="5" t="s">
        <v>714</v>
      </c>
      <c r="D148" s="7" t="s">
        <v>715</v>
      </c>
      <c r="E148" s="5" t="s">
        <v>714</v>
      </c>
      <c r="F148" s="8" t="s">
        <v>716</v>
      </c>
      <c r="G148" s="8" t="s">
        <v>717</v>
      </c>
      <c r="H148" s="9" t="s">
        <v>79</v>
      </c>
      <c r="I148" s="5" t="s">
        <v>39</v>
      </c>
      <c r="J148" s="10" t="n">
        <v>206</v>
      </c>
      <c r="K148" s="6" t="n">
        <v>2</v>
      </c>
      <c r="L148" s="6" t="n">
        <v>30</v>
      </c>
      <c r="M148" s="11"/>
      <c r="N148" s="11"/>
      <c r="O148" s="11"/>
    </row>
    <row r="149" customFormat="false" ht="26.85" hidden="false" customHeight="false" outlineLevel="0" collapsed="false">
      <c r="A149" s="12" t="s">
        <v>637</v>
      </c>
      <c r="B149" s="13" t="n">
        <v>8</v>
      </c>
      <c r="C149" s="5" t="s">
        <v>718</v>
      </c>
      <c r="D149" s="7" t="s">
        <v>719</v>
      </c>
      <c r="E149" s="5" t="s">
        <v>720</v>
      </c>
      <c r="F149" s="8" t="s">
        <v>721</v>
      </c>
      <c r="G149" s="8" t="s">
        <v>722</v>
      </c>
      <c r="H149" s="9" t="s">
        <v>723</v>
      </c>
      <c r="I149" s="5" t="s">
        <v>39</v>
      </c>
      <c r="J149" s="10" t="n">
        <v>88</v>
      </c>
      <c r="K149" s="6" t="n">
        <v>2</v>
      </c>
      <c r="L149" s="6" t="n">
        <v>36</v>
      </c>
      <c r="M149" s="11"/>
      <c r="N149" s="11"/>
      <c r="O149" s="11"/>
    </row>
    <row r="150" customFormat="false" ht="17.35" hidden="false" customHeight="false" outlineLevel="0" collapsed="false">
      <c r="A150" s="12" t="s">
        <v>637</v>
      </c>
      <c r="B150" s="13" t="n">
        <v>8</v>
      </c>
      <c r="C150" s="5" t="s">
        <v>724</v>
      </c>
      <c r="D150" s="7" t="s">
        <v>725</v>
      </c>
      <c r="E150" s="5" t="s">
        <v>726</v>
      </c>
      <c r="F150" s="8" t="s">
        <v>727</v>
      </c>
      <c r="G150" s="8"/>
      <c r="H150" s="9"/>
      <c r="I150" s="5" t="s">
        <v>46</v>
      </c>
      <c r="J150" s="10" t="n">
        <v>11</v>
      </c>
      <c r="K150" s="6" t="n">
        <v>2</v>
      </c>
      <c r="L150" s="6" t="n">
        <v>34</v>
      </c>
      <c r="M150" s="11"/>
      <c r="N150" s="11"/>
      <c r="O150" s="11"/>
    </row>
    <row r="151" customFormat="false" ht="26.85" hidden="false" customHeight="false" outlineLevel="0" collapsed="false">
      <c r="A151" s="12" t="s">
        <v>637</v>
      </c>
      <c r="B151" s="13" t="n">
        <v>8</v>
      </c>
      <c r="C151" s="5" t="s">
        <v>728</v>
      </c>
      <c r="D151" s="7" t="s">
        <v>729</v>
      </c>
      <c r="E151" s="5" t="s">
        <v>728</v>
      </c>
      <c r="F151" s="8" t="s">
        <v>730</v>
      </c>
      <c r="G151" s="8" t="s">
        <v>731</v>
      </c>
      <c r="H151" s="9" t="s">
        <v>663</v>
      </c>
      <c r="I151" s="5" t="s">
        <v>39</v>
      </c>
      <c r="J151" s="10" t="n">
        <v>201</v>
      </c>
      <c r="K151" s="6" t="n">
        <v>55</v>
      </c>
      <c r="L151" s="6" t="n">
        <v>33</v>
      </c>
      <c r="M151" s="11"/>
      <c r="N151" s="11"/>
      <c r="O151" s="11"/>
    </row>
    <row r="152" customFormat="false" ht="26.85" hidden="false" customHeight="false" outlineLevel="0" collapsed="false">
      <c r="A152" s="12" t="s">
        <v>637</v>
      </c>
      <c r="B152" s="13" t="n">
        <v>8</v>
      </c>
      <c r="C152" s="5" t="s">
        <v>732</v>
      </c>
      <c r="D152" s="7" t="s">
        <v>733</v>
      </c>
      <c r="E152" s="5" t="s">
        <v>732</v>
      </c>
      <c r="F152" s="8" t="s">
        <v>734</v>
      </c>
      <c r="G152" s="8" t="s">
        <v>735</v>
      </c>
      <c r="H152" s="9" t="s">
        <v>736</v>
      </c>
      <c r="I152" s="5" t="s">
        <v>39</v>
      </c>
      <c r="J152" s="10" t="n">
        <v>108</v>
      </c>
      <c r="K152" s="6" t="n">
        <v>2</v>
      </c>
      <c r="L152" s="6" t="n">
        <v>62</v>
      </c>
      <c r="M152" s="11"/>
      <c r="N152" s="11"/>
      <c r="O152" s="11"/>
    </row>
    <row r="153" customFormat="false" ht="17.35" hidden="false" customHeight="false" outlineLevel="0" collapsed="false">
      <c r="A153" s="5" t="s">
        <v>737</v>
      </c>
      <c r="B153" s="6" t="n">
        <v>9</v>
      </c>
      <c r="C153" s="5" t="s">
        <v>738</v>
      </c>
      <c r="D153" s="7" t="s">
        <v>739</v>
      </c>
      <c r="E153" s="5" t="s">
        <v>740</v>
      </c>
      <c r="F153" s="8" t="s">
        <v>741</v>
      </c>
      <c r="G153" s="8"/>
      <c r="H153" s="9" t="s">
        <v>40</v>
      </c>
      <c r="I153" s="5" t="s">
        <v>39</v>
      </c>
      <c r="J153" s="10" t="n">
        <v>381</v>
      </c>
      <c r="K153" s="6" t="n">
        <v>2</v>
      </c>
      <c r="L153" s="6" t="n">
        <v>22</v>
      </c>
      <c r="M153" s="11"/>
      <c r="N153" s="11"/>
      <c r="O153" s="11"/>
    </row>
    <row r="154" customFormat="false" ht="17.35" hidden="false" customHeight="false" outlineLevel="0" collapsed="false">
      <c r="A154" s="5" t="s">
        <v>737</v>
      </c>
      <c r="B154" s="6" t="n">
        <v>9</v>
      </c>
      <c r="C154" s="5" t="s">
        <v>742</v>
      </c>
      <c r="D154" s="7" t="s">
        <v>743</v>
      </c>
      <c r="E154" s="5" t="s">
        <v>744</v>
      </c>
      <c r="F154" s="8" t="s">
        <v>745</v>
      </c>
      <c r="G154" s="8"/>
      <c r="H154" s="9" t="s">
        <v>746</v>
      </c>
      <c r="I154" s="5" t="s">
        <v>39</v>
      </c>
      <c r="J154" s="10" t="n">
        <v>461</v>
      </c>
      <c r="K154" s="6" t="n">
        <v>2</v>
      </c>
      <c r="L154" s="6" t="n">
        <v>22</v>
      </c>
      <c r="M154" s="11"/>
      <c r="N154" s="11"/>
      <c r="O154" s="11"/>
    </row>
    <row r="155" customFormat="false" ht="17.35" hidden="false" customHeight="false" outlineLevel="0" collapsed="false">
      <c r="A155" s="5" t="s">
        <v>737</v>
      </c>
      <c r="B155" s="6" t="n">
        <v>9</v>
      </c>
      <c r="C155" s="5" t="s">
        <v>747</v>
      </c>
      <c r="D155" s="7" t="s">
        <v>748</v>
      </c>
      <c r="E155" s="5" t="s">
        <v>747</v>
      </c>
      <c r="F155" s="8" t="s">
        <v>749</v>
      </c>
      <c r="G155" s="8"/>
      <c r="H155" s="9" t="s">
        <v>750</v>
      </c>
      <c r="I155" s="5" t="s">
        <v>39</v>
      </c>
      <c r="J155" s="10" t="n">
        <v>33</v>
      </c>
      <c r="K155" s="6" t="n">
        <v>91</v>
      </c>
      <c r="L155" s="6" t="n">
        <v>1</v>
      </c>
      <c r="M155" s="11"/>
      <c r="N155" s="11"/>
      <c r="O155" s="11"/>
    </row>
    <row r="156" customFormat="false" ht="17.35" hidden="false" customHeight="false" outlineLevel="0" collapsed="false">
      <c r="A156" s="5" t="s">
        <v>737</v>
      </c>
      <c r="B156" s="6" t="n">
        <v>9</v>
      </c>
      <c r="C156" s="5" t="s">
        <v>751</v>
      </c>
      <c r="D156" s="7" t="s">
        <v>752</v>
      </c>
      <c r="E156" s="5" t="s">
        <v>751</v>
      </c>
      <c r="F156" s="8" t="s">
        <v>753</v>
      </c>
      <c r="G156" s="8"/>
      <c r="H156" s="9" t="s">
        <v>754</v>
      </c>
      <c r="I156" s="5" t="s">
        <v>39</v>
      </c>
      <c r="J156" s="10" t="n">
        <v>27</v>
      </c>
      <c r="K156" s="6" t="n">
        <v>91</v>
      </c>
      <c r="L156" s="6" t="n">
        <v>2</v>
      </c>
      <c r="M156" s="11"/>
      <c r="N156" s="11"/>
      <c r="O156" s="11"/>
    </row>
    <row r="157" customFormat="false" ht="17.35" hidden="false" customHeight="false" outlineLevel="0" collapsed="false">
      <c r="A157" s="5" t="s">
        <v>737</v>
      </c>
      <c r="B157" s="6" t="n">
        <v>9</v>
      </c>
      <c r="C157" s="5" t="s">
        <v>755</v>
      </c>
      <c r="D157" s="7" t="s">
        <v>756</v>
      </c>
      <c r="E157" s="5" t="s">
        <v>755</v>
      </c>
      <c r="F157" s="8" t="s">
        <v>757</v>
      </c>
      <c r="G157" s="8"/>
      <c r="H157" s="9" t="s">
        <v>758</v>
      </c>
      <c r="I157" s="5" t="s">
        <v>39</v>
      </c>
      <c r="J157" s="10" t="n">
        <v>13</v>
      </c>
      <c r="K157" s="6" t="n">
        <v>53</v>
      </c>
      <c r="L157" s="6" t="n">
        <v>1</v>
      </c>
      <c r="M157" s="11"/>
      <c r="N157" s="11"/>
      <c r="O157" s="11"/>
    </row>
    <row r="158" customFormat="false" ht="17.35" hidden="false" customHeight="false" outlineLevel="0" collapsed="false">
      <c r="A158" s="5" t="s">
        <v>737</v>
      </c>
      <c r="B158" s="6" t="n">
        <v>9</v>
      </c>
      <c r="C158" s="5" t="s">
        <v>759</v>
      </c>
      <c r="D158" s="7" t="s">
        <v>760</v>
      </c>
      <c r="E158" s="5" t="s">
        <v>759</v>
      </c>
      <c r="F158" s="8" t="s">
        <v>761</v>
      </c>
      <c r="G158" s="8"/>
      <c r="H158" s="9" t="s">
        <v>762</v>
      </c>
      <c r="I158" s="5" t="s">
        <v>39</v>
      </c>
      <c r="J158" s="10" t="n">
        <v>92</v>
      </c>
      <c r="K158" s="6" t="n">
        <v>2</v>
      </c>
      <c r="L158" s="6" t="n">
        <v>164</v>
      </c>
      <c r="M158" s="11"/>
      <c r="N158" s="11"/>
      <c r="O158" s="11"/>
    </row>
    <row r="159" customFormat="false" ht="17.35" hidden="false" customHeight="false" outlineLevel="0" collapsed="false">
      <c r="A159" s="5" t="s">
        <v>737</v>
      </c>
      <c r="B159" s="6" t="n">
        <v>9</v>
      </c>
      <c r="C159" s="5" t="s">
        <v>763</v>
      </c>
      <c r="D159" s="7" t="s">
        <v>764</v>
      </c>
      <c r="E159" s="5" t="s">
        <v>765</v>
      </c>
      <c r="F159" s="8" t="s">
        <v>766</v>
      </c>
      <c r="G159" s="8"/>
      <c r="H159" s="9" t="s">
        <v>767</v>
      </c>
      <c r="I159" s="5" t="s">
        <v>39</v>
      </c>
      <c r="J159" s="10" t="n">
        <v>113</v>
      </c>
      <c r="K159" s="6" t="n">
        <v>2</v>
      </c>
      <c r="L159" s="6" t="n">
        <v>164</v>
      </c>
      <c r="M159" s="11"/>
      <c r="N159" s="11"/>
      <c r="O159" s="11"/>
    </row>
    <row r="160" customFormat="false" ht="17.35" hidden="false" customHeight="false" outlineLevel="0" collapsed="false">
      <c r="A160" s="5" t="s">
        <v>737</v>
      </c>
      <c r="B160" s="6" t="n">
        <v>9</v>
      </c>
      <c r="C160" s="5" t="s">
        <v>768</v>
      </c>
      <c r="D160" s="7" t="s">
        <v>769</v>
      </c>
      <c r="E160" s="5" t="s">
        <v>770</v>
      </c>
      <c r="F160" s="8" t="s">
        <v>771</v>
      </c>
      <c r="G160" s="8"/>
      <c r="H160" s="9" t="s">
        <v>772</v>
      </c>
      <c r="I160" s="5" t="s">
        <v>39</v>
      </c>
      <c r="J160" s="10" t="n">
        <v>63</v>
      </c>
      <c r="K160" s="6" t="n">
        <v>2</v>
      </c>
      <c r="L160" s="6" t="n">
        <v>22</v>
      </c>
      <c r="M160" s="11"/>
      <c r="N160" s="11"/>
      <c r="O160" s="11"/>
    </row>
    <row r="161" customFormat="false" ht="17.35" hidden="false" customHeight="false" outlineLevel="0" collapsed="false">
      <c r="A161" s="5" t="s">
        <v>737</v>
      </c>
      <c r="B161" s="6" t="n">
        <v>9</v>
      </c>
      <c r="C161" s="5" t="s">
        <v>773</v>
      </c>
      <c r="D161" s="7" t="s">
        <v>774</v>
      </c>
      <c r="E161" s="5" t="s">
        <v>775</v>
      </c>
      <c r="F161" s="8" t="s">
        <v>776</v>
      </c>
      <c r="G161" s="8"/>
      <c r="H161" s="9" t="s">
        <v>713</v>
      </c>
      <c r="I161" s="5" t="s">
        <v>39</v>
      </c>
      <c r="J161" s="10" t="n">
        <v>57</v>
      </c>
      <c r="K161" s="6" t="n">
        <v>2</v>
      </c>
      <c r="L161" s="6" t="n">
        <v>164</v>
      </c>
      <c r="M161" s="11"/>
      <c r="N161" s="11"/>
      <c r="O161" s="11"/>
    </row>
    <row r="162" customFormat="false" ht="17.35" hidden="false" customHeight="false" outlineLevel="0" collapsed="false">
      <c r="A162" s="5" t="s">
        <v>737</v>
      </c>
      <c r="B162" s="6" t="n">
        <v>9</v>
      </c>
      <c r="C162" s="5" t="s">
        <v>777</v>
      </c>
      <c r="D162" s="7" t="s">
        <v>778</v>
      </c>
      <c r="E162" s="5" t="s">
        <v>779</v>
      </c>
      <c r="F162" s="8" t="s">
        <v>780</v>
      </c>
      <c r="G162" s="8"/>
      <c r="H162" s="9" t="s">
        <v>781</v>
      </c>
      <c r="I162" s="5" t="s">
        <v>39</v>
      </c>
      <c r="J162" s="10" t="n">
        <v>11</v>
      </c>
      <c r="K162" s="6" t="n">
        <v>2</v>
      </c>
      <c r="L162" s="6" t="n">
        <v>164</v>
      </c>
      <c r="M162" s="11"/>
      <c r="N162" s="11"/>
      <c r="O162" s="11"/>
    </row>
    <row r="163" customFormat="false" ht="17.35" hidden="false" customHeight="false" outlineLevel="0" collapsed="false">
      <c r="A163" s="5" t="s">
        <v>737</v>
      </c>
      <c r="B163" s="6" t="n">
        <v>9</v>
      </c>
      <c r="C163" s="5" t="s">
        <v>782</v>
      </c>
      <c r="D163" s="7" t="s">
        <v>783</v>
      </c>
      <c r="E163" s="5" t="s">
        <v>782</v>
      </c>
      <c r="F163" s="8" t="s">
        <v>784</v>
      </c>
      <c r="G163" s="8"/>
      <c r="H163" s="9" t="s">
        <v>785</v>
      </c>
      <c r="I163" s="5" t="s">
        <v>39</v>
      </c>
      <c r="J163" s="10" t="n">
        <v>41</v>
      </c>
      <c r="K163" s="6" t="n">
        <v>7</v>
      </c>
      <c r="L163" s="6" t="n">
        <v>143</v>
      </c>
      <c r="M163" s="11"/>
      <c r="N163" s="11"/>
      <c r="O163" s="11"/>
    </row>
    <row r="164" customFormat="false" ht="17.35" hidden="false" customHeight="false" outlineLevel="0" collapsed="false">
      <c r="A164" s="5" t="s">
        <v>737</v>
      </c>
      <c r="B164" s="6" t="n">
        <v>9</v>
      </c>
      <c r="C164" s="5" t="s">
        <v>786</v>
      </c>
      <c r="D164" s="7" t="s">
        <v>787</v>
      </c>
      <c r="E164" s="5" t="s">
        <v>788</v>
      </c>
      <c r="F164" s="8" t="s">
        <v>789</v>
      </c>
      <c r="G164" s="8"/>
      <c r="H164" s="9" t="s">
        <v>790</v>
      </c>
      <c r="I164" s="5" t="s">
        <v>39</v>
      </c>
      <c r="J164" s="10" t="n">
        <v>42</v>
      </c>
      <c r="K164" s="6" t="n">
        <v>2</v>
      </c>
      <c r="L164" s="6" t="n">
        <v>50</v>
      </c>
      <c r="M164" s="11"/>
      <c r="N164" s="11"/>
      <c r="O164" s="11"/>
    </row>
    <row r="165" customFormat="false" ht="26.85" hidden="false" customHeight="false" outlineLevel="0" collapsed="false">
      <c r="A165" s="5" t="s">
        <v>737</v>
      </c>
      <c r="B165" s="6" t="n">
        <v>9</v>
      </c>
      <c r="C165" s="5" t="s">
        <v>791</v>
      </c>
      <c r="D165" s="7" t="s">
        <v>792</v>
      </c>
      <c r="E165" s="5" t="s">
        <v>791</v>
      </c>
      <c r="F165" s="8" t="s">
        <v>793</v>
      </c>
      <c r="G165" s="8" t="s">
        <v>794</v>
      </c>
      <c r="H165" s="9" t="s">
        <v>767</v>
      </c>
      <c r="I165" s="5" t="s">
        <v>39</v>
      </c>
      <c r="J165" s="10" t="n">
        <v>113</v>
      </c>
      <c r="K165" s="6" t="n">
        <v>2</v>
      </c>
      <c r="L165" s="6" t="n">
        <v>25</v>
      </c>
      <c r="M165" s="11"/>
      <c r="N165" s="11"/>
      <c r="O165" s="11"/>
    </row>
    <row r="166" customFormat="false" ht="17.35" hidden="false" customHeight="false" outlineLevel="0" collapsed="false">
      <c r="A166" s="5" t="s">
        <v>737</v>
      </c>
      <c r="B166" s="6" t="n">
        <v>9</v>
      </c>
      <c r="C166" s="5" t="s">
        <v>795</v>
      </c>
      <c r="D166" s="7" t="s">
        <v>796</v>
      </c>
      <c r="E166" s="5" t="s">
        <v>795</v>
      </c>
      <c r="F166" s="8" t="s">
        <v>797</v>
      </c>
      <c r="G166" s="8"/>
      <c r="H166" s="9" t="s">
        <v>798</v>
      </c>
      <c r="I166" s="5" t="s">
        <v>39</v>
      </c>
      <c r="J166" s="10" t="n">
        <v>27</v>
      </c>
      <c r="K166" s="6" t="n">
        <v>2</v>
      </c>
      <c r="L166" s="6" t="n">
        <v>35</v>
      </c>
      <c r="M166" s="11"/>
      <c r="N166" s="11"/>
      <c r="O166" s="11"/>
    </row>
    <row r="167" customFormat="false" ht="17.35" hidden="false" customHeight="false" outlineLevel="0" collapsed="false">
      <c r="A167" s="5" t="s">
        <v>737</v>
      </c>
      <c r="B167" s="6" t="n">
        <v>9</v>
      </c>
      <c r="C167" s="5" t="s">
        <v>799</v>
      </c>
      <c r="D167" s="7" t="s">
        <v>800</v>
      </c>
      <c r="E167" s="5" t="s">
        <v>799</v>
      </c>
      <c r="F167" s="8" t="s">
        <v>801</v>
      </c>
      <c r="G167" s="8"/>
      <c r="H167" s="9" t="s">
        <v>802</v>
      </c>
      <c r="I167" s="5" t="s">
        <v>39</v>
      </c>
      <c r="J167" s="10" t="n">
        <v>24</v>
      </c>
      <c r="K167" s="6" t="n">
        <v>2</v>
      </c>
      <c r="L167" s="6" t="n">
        <v>22</v>
      </c>
      <c r="M167" s="11"/>
      <c r="N167" s="11"/>
      <c r="O167" s="11"/>
    </row>
    <row r="168" customFormat="false" ht="17.35" hidden="false" customHeight="false" outlineLevel="0" collapsed="false">
      <c r="A168" s="5" t="s">
        <v>737</v>
      </c>
      <c r="B168" s="6" t="n">
        <v>9</v>
      </c>
      <c r="C168" s="5" t="s">
        <v>803</v>
      </c>
      <c r="D168" s="7" t="s">
        <v>804</v>
      </c>
      <c r="E168" s="5" t="s">
        <v>805</v>
      </c>
      <c r="F168" s="8" t="s">
        <v>806</v>
      </c>
      <c r="G168" s="8"/>
      <c r="H168" s="9" t="s">
        <v>807</v>
      </c>
      <c r="I168" s="5" t="s">
        <v>39</v>
      </c>
      <c r="J168" s="10" t="n">
        <v>18</v>
      </c>
      <c r="K168" s="6" t="n">
        <v>2</v>
      </c>
      <c r="L168" s="6" t="n">
        <v>164</v>
      </c>
      <c r="M168" s="11"/>
      <c r="N168" s="11"/>
      <c r="O168" s="11"/>
    </row>
    <row r="169" customFormat="false" ht="17.35" hidden="false" customHeight="false" outlineLevel="0" collapsed="false">
      <c r="A169" s="5" t="s">
        <v>737</v>
      </c>
      <c r="B169" s="6" t="n">
        <v>9</v>
      </c>
      <c r="C169" s="5" t="s">
        <v>808</v>
      </c>
      <c r="D169" s="7" t="s">
        <v>809</v>
      </c>
      <c r="E169" s="5" t="s">
        <v>810</v>
      </c>
      <c r="F169" s="8" t="s">
        <v>811</v>
      </c>
      <c r="G169" s="8"/>
      <c r="H169" s="9" t="s">
        <v>812</v>
      </c>
      <c r="I169" s="5" t="s">
        <v>39</v>
      </c>
      <c r="J169" s="10" t="n">
        <v>29</v>
      </c>
      <c r="K169" s="6" t="n">
        <v>2</v>
      </c>
      <c r="L169" s="6" t="n">
        <v>260</v>
      </c>
      <c r="M169" s="11"/>
      <c r="N169" s="11"/>
      <c r="O169" s="11"/>
    </row>
    <row r="170" customFormat="false" ht="17.35" hidden="false" customHeight="false" outlineLevel="0" collapsed="false">
      <c r="A170" s="5" t="s">
        <v>737</v>
      </c>
      <c r="B170" s="6" t="n">
        <v>9</v>
      </c>
      <c r="C170" s="5" t="s">
        <v>813</v>
      </c>
      <c r="D170" s="7" t="s">
        <v>814</v>
      </c>
      <c r="E170" s="5" t="s">
        <v>813</v>
      </c>
      <c r="F170" s="8" t="s">
        <v>815</v>
      </c>
      <c r="G170" s="8"/>
      <c r="H170" s="9" t="s">
        <v>319</v>
      </c>
      <c r="I170" s="5" t="s">
        <v>39</v>
      </c>
      <c r="J170" s="10" t="n">
        <v>261</v>
      </c>
      <c r="K170" s="6" t="n">
        <v>2</v>
      </c>
      <c r="L170" s="6" t="n">
        <v>164</v>
      </c>
      <c r="M170" s="11"/>
      <c r="N170" s="11"/>
      <c r="O170" s="11"/>
    </row>
    <row r="171" customFormat="false" ht="26.85" hidden="false" customHeight="false" outlineLevel="0" collapsed="false">
      <c r="A171" s="5" t="s">
        <v>737</v>
      </c>
      <c r="B171" s="6" t="n">
        <v>9</v>
      </c>
      <c r="C171" s="5" t="s">
        <v>816</v>
      </c>
      <c r="D171" s="7" t="s">
        <v>817</v>
      </c>
      <c r="E171" s="5" t="s">
        <v>816</v>
      </c>
      <c r="F171" s="8" t="s">
        <v>818</v>
      </c>
      <c r="G171" s="8" t="s">
        <v>819</v>
      </c>
      <c r="H171" s="9" t="s">
        <v>820</v>
      </c>
      <c r="I171" s="5" t="s">
        <v>39</v>
      </c>
      <c r="J171" s="10" t="n">
        <v>298</v>
      </c>
      <c r="K171" s="6" t="n">
        <v>2</v>
      </c>
      <c r="L171" s="6" t="n">
        <v>48</v>
      </c>
      <c r="M171" s="11"/>
      <c r="N171" s="11"/>
      <c r="O171" s="11"/>
    </row>
    <row r="172" customFormat="false" ht="17.35" hidden="false" customHeight="false" outlineLevel="0" collapsed="false">
      <c r="A172" s="5" t="s">
        <v>737</v>
      </c>
      <c r="B172" s="6" t="n">
        <v>9</v>
      </c>
      <c r="C172" s="5" t="s">
        <v>821</v>
      </c>
      <c r="D172" s="7" t="s">
        <v>822</v>
      </c>
      <c r="E172" s="5" t="s">
        <v>823</v>
      </c>
      <c r="F172" s="8" t="s">
        <v>824</v>
      </c>
      <c r="G172" s="8"/>
      <c r="H172" s="9" t="s">
        <v>825</v>
      </c>
      <c r="I172" s="5" t="s">
        <v>39</v>
      </c>
      <c r="J172" s="10" t="n">
        <v>22</v>
      </c>
      <c r="K172" s="6" t="n">
        <v>3</v>
      </c>
      <c r="L172" s="6" t="n">
        <v>59</v>
      </c>
      <c r="M172" s="11"/>
      <c r="N172" s="11"/>
      <c r="O172" s="11"/>
    </row>
    <row r="173" customFormat="false" ht="26.85" hidden="false" customHeight="false" outlineLevel="0" collapsed="false">
      <c r="A173" s="12" t="s">
        <v>826</v>
      </c>
      <c r="B173" s="13" t="n">
        <v>10</v>
      </c>
      <c r="C173" s="5" t="s">
        <v>827</v>
      </c>
      <c r="D173" s="7" t="s">
        <v>828</v>
      </c>
      <c r="E173" s="5" t="s">
        <v>827</v>
      </c>
      <c r="F173" s="8" t="s">
        <v>829</v>
      </c>
      <c r="G173" s="8" t="s">
        <v>830</v>
      </c>
      <c r="H173" s="9"/>
      <c r="I173" s="5" t="s">
        <v>216</v>
      </c>
      <c r="J173" s="10" t="n">
        <v>342</v>
      </c>
      <c r="K173" s="6" t="n">
        <v>2</v>
      </c>
      <c r="L173" s="6" t="n">
        <v>28</v>
      </c>
      <c r="M173" s="11"/>
      <c r="N173" s="11"/>
      <c r="O173" s="11"/>
    </row>
    <row r="174" customFormat="false" ht="17.35" hidden="false" customHeight="false" outlineLevel="0" collapsed="false">
      <c r="A174" s="12" t="s">
        <v>826</v>
      </c>
      <c r="B174" s="13" t="n">
        <v>10</v>
      </c>
      <c r="C174" s="5" t="s">
        <v>831</v>
      </c>
      <c r="D174" s="7" t="s">
        <v>832</v>
      </c>
      <c r="E174" s="5" t="s">
        <v>831</v>
      </c>
      <c r="F174" s="8" t="s">
        <v>833</v>
      </c>
      <c r="G174" s="8"/>
      <c r="H174" s="9"/>
      <c r="I174" s="5" t="s">
        <v>216</v>
      </c>
      <c r="J174" s="10" t="n">
        <v>280</v>
      </c>
      <c r="K174" s="6" t="n">
        <v>77</v>
      </c>
      <c r="L174" s="6" t="n">
        <v>6</v>
      </c>
      <c r="M174" s="11"/>
      <c r="N174" s="11"/>
      <c r="O174" s="11"/>
    </row>
    <row r="175" customFormat="false" ht="17.35" hidden="false" customHeight="false" outlineLevel="0" collapsed="false">
      <c r="A175" s="12" t="s">
        <v>826</v>
      </c>
      <c r="B175" s="13" t="n">
        <v>10</v>
      </c>
      <c r="C175" s="5" t="s">
        <v>834</v>
      </c>
      <c r="D175" s="7" t="s">
        <v>835</v>
      </c>
      <c r="E175" s="5" t="s">
        <v>836</v>
      </c>
      <c r="F175" s="8" t="s">
        <v>837</v>
      </c>
      <c r="G175" s="8"/>
      <c r="H175" s="9"/>
      <c r="I175" s="5" t="s">
        <v>216</v>
      </c>
      <c r="J175" s="10" t="n">
        <v>130</v>
      </c>
      <c r="K175" s="6" t="n">
        <v>2</v>
      </c>
      <c r="L175" s="6" t="n">
        <v>12</v>
      </c>
      <c r="M175" s="11"/>
      <c r="N175" s="11"/>
      <c r="O175" s="11"/>
    </row>
    <row r="176" customFormat="false" ht="17.35" hidden="false" customHeight="false" outlineLevel="0" collapsed="false">
      <c r="A176" s="12" t="s">
        <v>826</v>
      </c>
      <c r="B176" s="13" t="n">
        <v>10</v>
      </c>
      <c r="C176" s="5" t="s">
        <v>838</v>
      </c>
      <c r="D176" s="7" t="s">
        <v>839</v>
      </c>
      <c r="E176" s="5" t="s">
        <v>838</v>
      </c>
      <c r="F176" s="8" t="s">
        <v>840</v>
      </c>
      <c r="G176" s="8"/>
      <c r="H176" s="9"/>
      <c r="I176" s="5" t="s">
        <v>216</v>
      </c>
      <c r="J176" s="10" t="n">
        <v>127</v>
      </c>
      <c r="K176" s="6" t="n">
        <v>2</v>
      </c>
      <c r="L176" s="6" t="n">
        <v>88</v>
      </c>
      <c r="M176" s="11"/>
      <c r="N176" s="11"/>
      <c r="O176" s="11"/>
    </row>
    <row r="177" customFormat="false" ht="17.35" hidden="false" customHeight="false" outlineLevel="0" collapsed="false">
      <c r="A177" s="12" t="s">
        <v>826</v>
      </c>
      <c r="B177" s="13" t="n">
        <v>10</v>
      </c>
      <c r="C177" s="5" t="s">
        <v>841</v>
      </c>
      <c r="D177" s="7" t="s">
        <v>842</v>
      </c>
      <c r="E177" s="5" t="s">
        <v>843</v>
      </c>
      <c r="F177" s="8" t="s">
        <v>844</v>
      </c>
      <c r="G177" s="8"/>
      <c r="H177" s="9"/>
      <c r="I177" s="5" t="s">
        <v>216</v>
      </c>
      <c r="J177" s="10" t="n">
        <v>1742</v>
      </c>
      <c r="K177" s="6" t="n">
        <v>2</v>
      </c>
      <c r="L177" s="6" t="n">
        <v>2</v>
      </c>
      <c r="M177" s="11"/>
      <c r="N177" s="11"/>
      <c r="O177" s="11"/>
    </row>
    <row r="178" customFormat="false" ht="26.85" hidden="false" customHeight="false" outlineLevel="0" collapsed="false">
      <c r="A178" s="12" t="s">
        <v>826</v>
      </c>
      <c r="B178" s="13" t="n">
        <v>10</v>
      </c>
      <c r="C178" s="5" t="s">
        <v>845</v>
      </c>
      <c r="D178" s="7" t="s">
        <v>846</v>
      </c>
      <c r="E178" s="5" t="s">
        <v>845</v>
      </c>
      <c r="F178" s="8" t="s">
        <v>847</v>
      </c>
      <c r="G178" s="8" t="s">
        <v>848</v>
      </c>
      <c r="H178" s="9"/>
      <c r="I178" s="5" t="s">
        <v>216</v>
      </c>
      <c r="J178" s="10" t="n">
        <v>352</v>
      </c>
      <c r="K178" s="6" t="n">
        <v>112</v>
      </c>
      <c r="L178" s="6" t="n">
        <v>3</v>
      </c>
      <c r="M178" s="11"/>
      <c r="N178" s="11"/>
      <c r="O178" s="11"/>
    </row>
    <row r="179" customFormat="false" ht="17.35" hidden="false" customHeight="false" outlineLevel="0" collapsed="false">
      <c r="A179" s="12" t="s">
        <v>826</v>
      </c>
      <c r="B179" s="13" t="n">
        <v>10</v>
      </c>
      <c r="C179" s="5" t="s">
        <v>849</v>
      </c>
      <c r="D179" s="7" t="s">
        <v>850</v>
      </c>
      <c r="E179" s="5" t="s">
        <v>849</v>
      </c>
      <c r="F179" s="8" t="s">
        <v>851</v>
      </c>
      <c r="G179" s="8"/>
      <c r="H179" s="9"/>
      <c r="I179" s="5" t="s">
        <v>216</v>
      </c>
      <c r="J179" s="10" t="n">
        <v>108</v>
      </c>
      <c r="K179" s="6" t="n">
        <v>2</v>
      </c>
      <c r="L179" s="6" t="n">
        <v>55</v>
      </c>
      <c r="M179" s="11"/>
      <c r="N179" s="11"/>
      <c r="O179" s="11"/>
    </row>
    <row r="180" customFormat="false" ht="17.35" hidden="false" customHeight="false" outlineLevel="0" collapsed="false">
      <c r="A180" s="12" t="s">
        <v>826</v>
      </c>
      <c r="B180" s="13" t="n">
        <v>10</v>
      </c>
      <c r="C180" s="5" t="s">
        <v>852</v>
      </c>
      <c r="D180" s="7" t="s">
        <v>853</v>
      </c>
      <c r="E180" s="5" t="s">
        <v>852</v>
      </c>
      <c r="F180" s="8" t="s">
        <v>854</v>
      </c>
      <c r="G180" s="8"/>
      <c r="H180" s="9"/>
      <c r="I180" s="5" t="s">
        <v>96</v>
      </c>
      <c r="J180" s="10" t="n">
        <v>89</v>
      </c>
      <c r="K180" s="6" t="n">
        <v>2</v>
      </c>
      <c r="L180" s="6" t="n">
        <v>189</v>
      </c>
      <c r="M180" s="11"/>
      <c r="N180" s="11"/>
      <c r="O180" s="11"/>
    </row>
    <row r="181" customFormat="false" ht="17.35" hidden="false" customHeight="false" outlineLevel="0" collapsed="false">
      <c r="A181" s="12" t="s">
        <v>826</v>
      </c>
      <c r="B181" s="13" t="n">
        <v>10</v>
      </c>
      <c r="C181" s="5" t="s">
        <v>855</v>
      </c>
      <c r="D181" s="7" t="s">
        <v>856</v>
      </c>
      <c r="E181" s="5" t="s">
        <v>855</v>
      </c>
      <c r="F181" s="8" t="s">
        <v>857</v>
      </c>
      <c r="G181" s="8"/>
      <c r="H181" s="9" t="s">
        <v>858</v>
      </c>
      <c r="I181" s="5" t="s">
        <v>39</v>
      </c>
      <c r="J181" s="10" t="n">
        <v>154</v>
      </c>
      <c r="K181" s="6" t="n">
        <v>1</v>
      </c>
      <c r="L181" s="6" t="n">
        <v>7</v>
      </c>
      <c r="M181" s="11"/>
      <c r="N181" s="11"/>
      <c r="O181" s="11"/>
    </row>
    <row r="182" customFormat="false" ht="17.35" hidden="false" customHeight="false" outlineLevel="0" collapsed="false">
      <c r="A182" s="12" t="s">
        <v>826</v>
      </c>
      <c r="B182" s="13" t="n">
        <v>10</v>
      </c>
      <c r="C182" s="5" t="s">
        <v>859</v>
      </c>
      <c r="D182" s="7" t="s">
        <v>860</v>
      </c>
      <c r="E182" s="5" t="s">
        <v>861</v>
      </c>
      <c r="F182" s="8" t="s">
        <v>862</v>
      </c>
      <c r="G182" s="8"/>
      <c r="H182" s="9"/>
      <c r="I182" s="5" t="s">
        <v>216</v>
      </c>
      <c r="J182" s="10" t="n">
        <v>3372</v>
      </c>
      <c r="K182" s="6" t="n">
        <v>2</v>
      </c>
      <c r="L182" s="6" t="n">
        <v>23</v>
      </c>
      <c r="M182" s="11"/>
      <c r="N182" s="11"/>
      <c r="O182" s="11"/>
    </row>
    <row r="183" customFormat="false" ht="17.35" hidden="false" customHeight="false" outlineLevel="0" collapsed="false">
      <c r="A183" s="12" t="s">
        <v>826</v>
      </c>
      <c r="B183" s="13" t="n">
        <v>10</v>
      </c>
      <c r="C183" s="5" t="s">
        <v>863</v>
      </c>
      <c r="D183" s="7" t="s">
        <v>864</v>
      </c>
      <c r="E183" s="5" t="s">
        <v>865</v>
      </c>
      <c r="F183" s="8" t="s">
        <v>866</v>
      </c>
      <c r="G183" s="8"/>
      <c r="H183" s="9"/>
      <c r="I183" s="5" t="s">
        <v>216</v>
      </c>
      <c r="J183" s="10" t="n">
        <v>454</v>
      </c>
      <c r="K183" s="6" t="n">
        <v>2</v>
      </c>
      <c r="L183" s="6" t="n">
        <v>11</v>
      </c>
      <c r="M183" s="11"/>
      <c r="N183" s="11"/>
      <c r="O183" s="11"/>
    </row>
    <row r="184" customFormat="false" ht="26.85" hidden="false" customHeight="false" outlineLevel="0" collapsed="false">
      <c r="A184" s="12" t="s">
        <v>826</v>
      </c>
      <c r="B184" s="13" t="n">
        <v>10</v>
      </c>
      <c r="C184" s="5" t="s">
        <v>867</v>
      </c>
      <c r="D184" s="7" t="s">
        <v>868</v>
      </c>
      <c r="E184" s="5" t="s">
        <v>867</v>
      </c>
      <c r="F184" s="8" t="s">
        <v>869</v>
      </c>
      <c r="G184" s="8" t="s">
        <v>870</v>
      </c>
      <c r="H184" s="9"/>
      <c r="I184" s="5" t="s">
        <v>216</v>
      </c>
      <c r="J184" s="10" t="n">
        <v>309</v>
      </c>
      <c r="K184" s="6" t="n">
        <v>2</v>
      </c>
      <c r="L184" s="6" t="n">
        <v>30</v>
      </c>
      <c r="M184" s="11"/>
      <c r="N184" s="11"/>
      <c r="O184" s="11"/>
    </row>
    <row r="185" customFormat="false" ht="17.35" hidden="false" customHeight="false" outlineLevel="0" collapsed="false">
      <c r="A185" s="12" t="s">
        <v>826</v>
      </c>
      <c r="B185" s="13" t="n">
        <v>10</v>
      </c>
      <c r="C185" s="5" t="s">
        <v>871</v>
      </c>
      <c r="D185" s="7" t="s">
        <v>872</v>
      </c>
      <c r="E185" s="5" t="s">
        <v>871</v>
      </c>
      <c r="F185" s="8" t="s">
        <v>873</v>
      </c>
      <c r="G185" s="8"/>
      <c r="H185" s="9"/>
      <c r="I185" s="5" t="s">
        <v>216</v>
      </c>
      <c r="J185" s="10" t="n">
        <v>202</v>
      </c>
      <c r="K185" s="6" t="n">
        <v>2</v>
      </c>
      <c r="L185" s="6" t="n">
        <v>20</v>
      </c>
      <c r="M185" s="11"/>
      <c r="N185" s="11"/>
      <c r="O185" s="11"/>
    </row>
    <row r="186" customFormat="false" ht="17.35" hidden="false" customHeight="false" outlineLevel="0" collapsed="false">
      <c r="A186" s="12" t="s">
        <v>826</v>
      </c>
      <c r="B186" s="13" t="n">
        <v>10</v>
      </c>
      <c r="C186" s="5" t="s">
        <v>874</v>
      </c>
      <c r="D186" s="7" t="s">
        <v>875</v>
      </c>
      <c r="E186" s="5" t="s">
        <v>874</v>
      </c>
      <c r="F186" s="8" t="s">
        <v>876</v>
      </c>
      <c r="G186" s="8"/>
      <c r="H186" s="9"/>
      <c r="I186" s="5" t="s">
        <v>216</v>
      </c>
      <c r="J186" s="10" t="n">
        <v>3372</v>
      </c>
      <c r="K186" s="6" t="n">
        <v>2</v>
      </c>
      <c r="L186" s="6" t="n">
        <v>6</v>
      </c>
      <c r="M186" s="11"/>
      <c r="N186" s="11"/>
      <c r="O186" s="11"/>
    </row>
    <row r="187" customFormat="false" ht="17.35" hidden="false" customHeight="false" outlineLevel="0" collapsed="false">
      <c r="A187" s="12" t="s">
        <v>826</v>
      </c>
      <c r="B187" s="13" t="n">
        <v>10</v>
      </c>
      <c r="C187" s="5" t="s">
        <v>877</v>
      </c>
      <c r="D187" s="7" t="s">
        <v>878</v>
      </c>
      <c r="E187" s="5" t="s">
        <v>877</v>
      </c>
      <c r="F187" s="8" t="s">
        <v>879</v>
      </c>
      <c r="G187" s="8"/>
      <c r="H187" s="9"/>
      <c r="I187" s="5" t="s">
        <v>216</v>
      </c>
      <c r="J187" s="10" t="n">
        <v>3372</v>
      </c>
      <c r="K187" s="6" t="n">
        <v>2</v>
      </c>
      <c r="L187" s="6" t="n">
        <v>25</v>
      </c>
      <c r="M187" s="11"/>
      <c r="N187" s="11"/>
      <c r="O187" s="11"/>
    </row>
    <row r="188" customFormat="false" ht="17.35" hidden="false" customHeight="false" outlineLevel="0" collapsed="false">
      <c r="A188" s="12" t="s">
        <v>826</v>
      </c>
      <c r="B188" s="13" t="n">
        <v>10</v>
      </c>
      <c r="C188" s="5" t="s">
        <v>880</v>
      </c>
      <c r="D188" s="7" t="s">
        <v>881</v>
      </c>
      <c r="E188" s="5" t="s">
        <v>880</v>
      </c>
      <c r="F188" s="8" t="s">
        <v>882</v>
      </c>
      <c r="G188" s="8"/>
      <c r="H188" s="9"/>
      <c r="I188" s="5" t="s">
        <v>216</v>
      </c>
      <c r="J188" s="10" t="n">
        <v>410</v>
      </c>
      <c r="K188" s="6" t="n">
        <v>23</v>
      </c>
      <c r="L188" s="6" t="n">
        <v>1</v>
      </c>
      <c r="M188" s="11"/>
      <c r="N188" s="11"/>
      <c r="O188" s="11"/>
    </row>
    <row r="189" customFormat="false" ht="17.35" hidden="false" customHeight="false" outlineLevel="0" collapsed="false">
      <c r="A189" s="12" t="s">
        <v>826</v>
      </c>
      <c r="B189" s="13" t="n">
        <v>10</v>
      </c>
      <c r="C189" s="5" t="s">
        <v>883</v>
      </c>
      <c r="D189" s="7" t="s">
        <v>884</v>
      </c>
      <c r="E189" s="5" t="s">
        <v>883</v>
      </c>
      <c r="F189" s="8" t="s">
        <v>885</v>
      </c>
      <c r="G189" s="8"/>
      <c r="H189" s="9"/>
      <c r="I189" s="5" t="s">
        <v>216</v>
      </c>
      <c r="J189" s="10" t="n">
        <v>83</v>
      </c>
      <c r="K189" s="6" t="n">
        <v>2</v>
      </c>
      <c r="L189" s="6" t="n">
        <v>28</v>
      </c>
      <c r="M189" s="11"/>
      <c r="N189" s="11"/>
      <c r="O189" s="11"/>
    </row>
    <row r="190" customFormat="false" ht="17.35" hidden="false" customHeight="false" outlineLevel="0" collapsed="false">
      <c r="A190" s="12" t="s">
        <v>826</v>
      </c>
      <c r="B190" s="13" t="n">
        <v>10</v>
      </c>
      <c r="C190" s="5" t="s">
        <v>886</v>
      </c>
      <c r="D190" s="7" t="s">
        <v>887</v>
      </c>
      <c r="E190" s="5" t="s">
        <v>886</v>
      </c>
      <c r="F190" s="8" t="s">
        <v>888</v>
      </c>
      <c r="G190" s="8"/>
      <c r="H190" s="9"/>
      <c r="I190" s="5" t="s">
        <v>216</v>
      </c>
      <c r="J190" s="10" t="n">
        <v>19</v>
      </c>
      <c r="K190" s="6" t="n">
        <v>2</v>
      </c>
      <c r="L190" s="6" t="n">
        <v>148</v>
      </c>
      <c r="M190" s="11"/>
      <c r="N190" s="11"/>
      <c r="O190" s="11"/>
    </row>
    <row r="191" customFormat="false" ht="17.35" hidden="false" customHeight="false" outlineLevel="0" collapsed="false">
      <c r="A191" s="12" t="s">
        <v>826</v>
      </c>
      <c r="B191" s="13" t="n">
        <v>10</v>
      </c>
      <c r="C191" s="5" t="s">
        <v>889</v>
      </c>
      <c r="D191" s="7" t="s">
        <v>890</v>
      </c>
      <c r="E191" s="5" t="s">
        <v>891</v>
      </c>
      <c r="F191" s="8" t="s">
        <v>892</v>
      </c>
      <c r="G191" s="8"/>
      <c r="H191" s="9"/>
      <c r="I191" s="5" t="s">
        <v>216</v>
      </c>
      <c r="J191" s="10" t="n">
        <v>78</v>
      </c>
      <c r="K191" s="6" t="n">
        <v>2</v>
      </c>
      <c r="L191" s="6" t="n">
        <v>26</v>
      </c>
      <c r="M191" s="11"/>
      <c r="N191" s="11"/>
      <c r="O191" s="11"/>
    </row>
    <row r="192" customFormat="false" ht="26.85" hidden="false" customHeight="false" outlineLevel="0" collapsed="false">
      <c r="A192" s="5" t="s">
        <v>893</v>
      </c>
      <c r="B192" s="6" t="n">
        <v>11</v>
      </c>
      <c r="C192" s="5" t="s">
        <v>894</v>
      </c>
      <c r="D192" s="7" t="s">
        <v>895</v>
      </c>
      <c r="E192" s="5" t="s">
        <v>896</v>
      </c>
      <c r="F192" s="8" t="s">
        <v>897</v>
      </c>
      <c r="G192" s="8" t="s">
        <v>898</v>
      </c>
      <c r="H192" s="9" t="s">
        <v>899</v>
      </c>
      <c r="I192" s="5" t="s">
        <v>39</v>
      </c>
      <c r="J192" s="10" t="n">
        <v>338</v>
      </c>
      <c r="K192" s="6" t="n">
        <v>76</v>
      </c>
      <c r="L192" s="6" t="n">
        <v>1</v>
      </c>
      <c r="M192" s="11"/>
      <c r="N192" s="11"/>
      <c r="O192" s="11"/>
    </row>
    <row r="193" customFormat="false" ht="26.85" hidden="false" customHeight="false" outlineLevel="0" collapsed="false">
      <c r="A193" s="5" t="s">
        <v>893</v>
      </c>
      <c r="B193" s="6" t="n">
        <v>11</v>
      </c>
      <c r="C193" s="5" t="s">
        <v>900</v>
      </c>
      <c r="D193" s="7" t="s">
        <v>901</v>
      </c>
      <c r="E193" s="5" t="s">
        <v>902</v>
      </c>
      <c r="F193" s="8" t="s">
        <v>903</v>
      </c>
      <c r="G193" s="8" t="s">
        <v>904</v>
      </c>
      <c r="H193" s="9" t="s">
        <v>905</v>
      </c>
      <c r="I193" s="5" t="s">
        <v>39</v>
      </c>
      <c r="J193" s="10" t="n">
        <v>241</v>
      </c>
      <c r="K193" s="6" t="n">
        <v>2</v>
      </c>
      <c r="L193" s="6" t="n">
        <v>8</v>
      </c>
      <c r="M193" s="11"/>
      <c r="N193" s="11"/>
      <c r="O193" s="11"/>
    </row>
    <row r="194" customFormat="false" ht="26.85" hidden="false" customHeight="false" outlineLevel="0" collapsed="false">
      <c r="A194" s="5" t="s">
        <v>893</v>
      </c>
      <c r="B194" s="6" t="n">
        <v>11</v>
      </c>
      <c r="C194" s="5" t="s">
        <v>906</v>
      </c>
      <c r="D194" s="7" t="s">
        <v>907</v>
      </c>
      <c r="E194" s="5" t="s">
        <v>906</v>
      </c>
      <c r="F194" s="8" t="s">
        <v>908</v>
      </c>
      <c r="G194" s="8" t="s">
        <v>909</v>
      </c>
      <c r="H194" s="9" t="s">
        <v>910</v>
      </c>
      <c r="I194" s="5" t="s">
        <v>39</v>
      </c>
      <c r="J194" s="10" t="n">
        <v>168</v>
      </c>
      <c r="K194" s="6" t="n">
        <v>2</v>
      </c>
      <c r="L194" s="6" t="n">
        <v>7</v>
      </c>
      <c r="M194" s="11"/>
      <c r="N194" s="11"/>
      <c r="O194" s="11"/>
    </row>
    <row r="195" customFormat="false" ht="17.35" hidden="false" customHeight="false" outlineLevel="0" collapsed="false">
      <c r="A195" s="5" t="s">
        <v>893</v>
      </c>
      <c r="B195" s="6" t="n">
        <v>11</v>
      </c>
      <c r="C195" s="5" t="s">
        <v>911</v>
      </c>
      <c r="D195" s="7" t="s">
        <v>912</v>
      </c>
      <c r="E195" s="5" t="s">
        <v>913</v>
      </c>
      <c r="F195" s="8" t="s">
        <v>914</v>
      </c>
      <c r="G195" s="8"/>
      <c r="H195" s="9" t="s">
        <v>915</v>
      </c>
      <c r="I195" s="5" t="s">
        <v>39</v>
      </c>
      <c r="J195" s="10" t="n">
        <v>46</v>
      </c>
      <c r="K195" s="6" t="n">
        <v>94</v>
      </c>
      <c r="L195" s="6" t="n">
        <v>1</v>
      </c>
      <c r="M195" s="11"/>
      <c r="N195" s="11"/>
      <c r="O195" s="11"/>
    </row>
    <row r="196" customFormat="false" ht="17.35" hidden="false" customHeight="false" outlineLevel="0" collapsed="false">
      <c r="A196" s="5" t="s">
        <v>893</v>
      </c>
      <c r="B196" s="6" t="n">
        <v>11</v>
      </c>
      <c r="C196" s="5" t="s">
        <v>916</v>
      </c>
      <c r="D196" s="7" t="s">
        <v>917</v>
      </c>
      <c r="E196" s="5" t="s">
        <v>918</v>
      </c>
      <c r="F196" s="8" t="s">
        <v>919</v>
      </c>
      <c r="G196" s="8"/>
      <c r="H196" s="9" t="s">
        <v>920</v>
      </c>
      <c r="I196" s="5" t="s">
        <v>39</v>
      </c>
      <c r="J196" s="10" t="n">
        <v>65</v>
      </c>
      <c r="K196" s="6" t="n">
        <v>5</v>
      </c>
      <c r="L196" s="6" t="n">
        <v>45</v>
      </c>
      <c r="M196" s="11"/>
      <c r="N196" s="11"/>
      <c r="O196" s="11"/>
    </row>
    <row r="197" customFormat="false" ht="17.35" hidden="false" customHeight="false" outlineLevel="0" collapsed="false">
      <c r="A197" s="5" t="s">
        <v>893</v>
      </c>
      <c r="B197" s="6" t="n">
        <v>11</v>
      </c>
      <c r="C197" s="5" t="s">
        <v>921</v>
      </c>
      <c r="D197" s="7" t="s">
        <v>922</v>
      </c>
      <c r="E197" s="5" t="s">
        <v>921</v>
      </c>
      <c r="F197" s="8" t="s">
        <v>923</v>
      </c>
      <c r="G197" s="8"/>
      <c r="H197" s="9" t="s">
        <v>924</v>
      </c>
      <c r="I197" s="5" t="s">
        <v>39</v>
      </c>
      <c r="J197" s="10" t="n">
        <v>120</v>
      </c>
      <c r="K197" s="6" t="n">
        <v>2</v>
      </c>
      <c r="L197" s="6" t="n">
        <v>79</v>
      </c>
      <c r="M197" s="11"/>
      <c r="N197" s="11"/>
      <c r="O197" s="11"/>
    </row>
    <row r="198" customFormat="false" ht="26.85" hidden="false" customHeight="false" outlineLevel="0" collapsed="false">
      <c r="A198" s="5" t="s">
        <v>893</v>
      </c>
      <c r="B198" s="6" t="n">
        <v>11</v>
      </c>
      <c r="C198" s="5" t="s">
        <v>925</v>
      </c>
      <c r="D198" s="7" t="s">
        <v>926</v>
      </c>
      <c r="E198" s="5" t="s">
        <v>925</v>
      </c>
      <c r="F198" s="8" t="s">
        <v>927</v>
      </c>
      <c r="G198" s="8" t="s">
        <v>928</v>
      </c>
      <c r="H198" s="9" t="s">
        <v>929</v>
      </c>
      <c r="I198" s="5" t="s">
        <v>39</v>
      </c>
      <c r="J198" s="10" t="n">
        <v>78</v>
      </c>
      <c r="K198" s="6" t="n">
        <v>2</v>
      </c>
      <c r="L198" s="6" t="n">
        <v>112</v>
      </c>
      <c r="M198" s="11"/>
      <c r="N198" s="11"/>
      <c r="O198" s="11"/>
    </row>
    <row r="199" customFormat="false" ht="17.35" hidden="false" customHeight="false" outlineLevel="0" collapsed="false">
      <c r="A199" s="5" t="s">
        <v>893</v>
      </c>
      <c r="B199" s="6" t="n">
        <v>11</v>
      </c>
      <c r="C199" s="5" t="s">
        <v>930</v>
      </c>
      <c r="D199" s="7" t="s">
        <v>931</v>
      </c>
      <c r="E199" s="5" t="s">
        <v>932</v>
      </c>
      <c r="F199" s="8" t="s">
        <v>933</v>
      </c>
      <c r="G199" s="8"/>
      <c r="H199" s="9" t="s">
        <v>934</v>
      </c>
      <c r="I199" s="5" t="s">
        <v>39</v>
      </c>
      <c r="J199" s="10" t="n">
        <v>25</v>
      </c>
      <c r="K199" s="6" t="n">
        <v>14</v>
      </c>
      <c r="L199" s="6" t="n">
        <v>4</v>
      </c>
      <c r="M199" s="11"/>
      <c r="N199" s="11"/>
      <c r="O199" s="11"/>
    </row>
    <row r="200" customFormat="false" ht="17.35" hidden="false" customHeight="false" outlineLevel="0" collapsed="false">
      <c r="A200" s="5" t="s">
        <v>893</v>
      </c>
      <c r="B200" s="6" t="n">
        <v>11</v>
      </c>
      <c r="C200" s="5" t="s">
        <v>935</v>
      </c>
      <c r="D200" s="7" t="s">
        <v>936</v>
      </c>
      <c r="E200" s="5" t="s">
        <v>935</v>
      </c>
      <c r="F200" s="8" t="s">
        <v>937</v>
      </c>
      <c r="G200" s="8"/>
      <c r="H200" s="9" t="s">
        <v>938</v>
      </c>
      <c r="I200" s="5" t="s">
        <v>39</v>
      </c>
      <c r="J200" s="10" t="n">
        <v>102</v>
      </c>
      <c r="K200" s="6" t="n">
        <v>5</v>
      </c>
      <c r="L200" s="6" t="n">
        <v>45</v>
      </c>
      <c r="M200" s="11"/>
      <c r="N200" s="11"/>
      <c r="O200" s="11"/>
    </row>
    <row r="201" customFormat="false" ht="17.35" hidden="false" customHeight="false" outlineLevel="0" collapsed="false">
      <c r="A201" s="5" t="s">
        <v>893</v>
      </c>
      <c r="B201" s="6" t="n">
        <v>11</v>
      </c>
      <c r="C201" s="5" t="s">
        <v>939</v>
      </c>
      <c r="D201" s="7" t="s">
        <v>940</v>
      </c>
      <c r="E201" s="5" t="s">
        <v>941</v>
      </c>
      <c r="F201" s="8" t="s">
        <v>942</v>
      </c>
      <c r="G201" s="8"/>
      <c r="H201" s="9" t="s">
        <v>943</v>
      </c>
      <c r="I201" s="5" t="s">
        <v>39</v>
      </c>
      <c r="J201" s="10" t="n">
        <v>18</v>
      </c>
      <c r="K201" s="6" t="n">
        <v>2</v>
      </c>
      <c r="L201" s="6" t="n">
        <v>196</v>
      </c>
      <c r="M201" s="11"/>
      <c r="N201" s="11"/>
      <c r="O201" s="11"/>
    </row>
    <row r="202" customFormat="false" ht="17.35" hidden="false" customHeight="false" outlineLevel="0" collapsed="false">
      <c r="A202" s="5" t="s">
        <v>893</v>
      </c>
      <c r="B202" s="6" t="n">
        <v>11</v>
      </c>
      <c r="C202" s="5" t="s">
        <v>944</v>
      </c>
      <c r="D202" s="7" t="s">
        <v>945</v>
      </c>
      <c r="E202" s="5" t="s">
        <v>944</v>
      </c>
      <c r="F202" s="8" t="s">
        <v>946</v>
      </c>
      <c r="G202" s="8"/>
      <c r="H202" s="9" t="s">
        <v>947</v>
      </c>
      <c r="I202" s="5" t="s">
        <v>39</v>
      </c>
      <c r="J202" s="10" t="n">
        <v>73</v>
      </c>
      <c r="K202" s="6" t="n">
        <v>24</v>
      </c>
      <c r="L202" s="6" t="n">
        <v>45</v>
      </c>
      <c r="M202" s="11"/>
      <c r="N202" s="11"/>
      <c r="O202" s="11"/>
    </row>
    <row r="203" customFormat="false" ht="17.35" hidden="false" customHeight="false" outlineLevel="0" collapsed="false">
      <c r="A203" s="5" t="s">
        <v>893</v>
      </c>
      <c r="B203" s="6" t="n">
        <v>11</v>
      </c>
      <c r="C203" s="5" t="s">
        <v>948</v>
      </c>
      <c r="D203" s="7" t="s">
        <v>949</v>
      </c>
      <c r="E203" s="5" t="s">
        <v>948</v>
      </c>
      <c r="F203" s="8" t="s">
        <v>950</v>
      </c>
      <c r="G203" s="8"/>
      <c r="H203" s="9" t="s">
        <v>951</v>
      </c>
      <c r="I203" s="5" t="s">
        <v>39</v>
      </c>
      <c r="J203" s="10" t="n">
        <v>13</v>
      </c>
      <c r="K203" s="6" t="n">
        <v>4</v>
      </c>
      <c r="L203" s="6" t="n">
        <v>56</v>
      </c>
      <c r="M203" s="11"/>
      <c r="N203" s="11"/>
      <c r="O203" s="11"/>
    </row>
    <row r="204" customFormat="false" ht="17.35" hidden="false" customHeight="false" outlineLevel="0" collapsed="false">
      <c r="A204" s="5" t="s">
        <v>893</v>
      </c>
      <c r="B204" s="6" t="n">
        <v>11</v>
      </c>
      <c r="C204" s="5" t="s">
        <v>952</v>
      </c>
      <c r="D204" s="7" t="s">
        <v>953</v>
      </c>
      <c r="E204" s="5" t="s">
        <v>952</v>
      </c>
      <c r="F204" s="8" t="s">
        <v>954</v>
      </c>
      <c r="G204" s="8"/>
      <c r="H204" s="9" t="s">
        <v>955</v>
      </c>
      <c r="I204" s="5" t="s">
        <v>39</v>
      </c>
      <c r="J204" s="10" t="n">
        <v>10</v>
      </c>
      <c r="K204" s="6" t="n">
        <v>2</v>
      </c>
      <c r="L204" s="6" t="n">
        <v>173</v>
      </c>
      <c r="M204" s="11"/>
      <c r="N204" s="11"/>
      <c r="O204" s="11"/>
    </row>
    <row r="205" customFormat="false" ht="26.85" hidden="false" customHeight="false" outlineLevel="0" collapsed="false">
      <c r="A205" s="5" t="s">
        <v>893</v>
      </c>
      <c r="B205" s="6" t="n">
        <v>11</v>
      </c>
      <c r="C205" s="5" t="s">
        <v>956</v>
      </c>
      <c r="D205" s="7" t="s">
        <v>957</v>
      </c>
      <c r="E205" s="5" t="s">
        <v>958</v>
      </c>
      <c r="F205" s="8" t="s">
        <v>959</v>
      </c>
      <c r="G205" s="8" t="s">
        <v>960</v>
      </c>
      <c r="H205" s="9" t="s">
        <v>961</v>
      </c>
      <c r="I205" s="5" t="s">
        <v>96</v>
      </c>
      <c r="J205" s="10" t="n">
        <v>49</v>
      </c>
      <c r="K205" s="6" t="n">
        <v>2</v>
      </c>
      <c r="L205" s="6" t="n">
        <v>44</v>
      </c>
      <c r="M205" s="11"/>
      <c r="N205" s="11"/>
      <c r="O205" s="11"/>
    </row>
    <row r="206" customFormat="false" ht="17.35" hidden="false" customHeight="false" outlineLevel="0" collapsed="false">
      <c r="A206" s="5" t="s">
        <v>893</v>
      </c>
      <c r="B206" s="6" t="n">
        <v>11</v>
      </c>
      <c r="C206" s="5" t="s">
        <v>962</v>
      </c>
      <c r="D206" s="7" t="s">
        <v>963</v>
      </c>
      <c r="E206" s="5" t="s">
        <v>962</v>
      </c>
      <c r="F206" s="8" t="s">
        <v>964</v>
      </c>
      <c r="G206" s="8"/>
      <c r="H206" s="9" t="s">
        <v>965</v>
      </c>
      <c r="I206" s="5" t="s">
        <v>96</v>
      </c>
      <c r="J206" s="10" t="n">
        <v>20</v>
      </c>
      <c r="K206" s="6" t="n">
        <v>4</v>
      </c>
      <c r="L206" s="6" t="n">
        <v>78</v>
      </c>
      <c r="M206" s="11"/>
      <c r="N206" s="11"/>
      <c r="O206" s="11"/>
    </row>
    <row r="207" customFormat="false" ht="17.35" hidden="false" customHeight="false" outlineLevel="0" collapsed="false">
      <c r="A207" s="5" t="s">
        <v>893</v>
      </c>
      <c r="B207" s="6" t="n">
        <v>11</v>
      </c>
      <c r="C207" s="5" t="s">
        <v>966</v>
      </c>
      <c r="D207" s="7" t="s">
        <v>967</v>
      </c>
      <c r="E207" s="5" t="s">
        <v>968</v>
      </c>
      <c r="F207" s="8" t="s">
        <v>969</v>
      </c>
      <c r="G207" s="8"/>
      <c r="H207" s="9" t="s">
        <v>970</v>
      </c>
      <c r="I207" s="5" t="s">
        <v>96</v>
      </c>
      <c r="J207" s="10" t="n">
        <v>63</v>
      </c>
      <c r="K207" s="6" t="n">
        <v>3</v>
      </c>
      <c r="L207" s="6" t="n">
        <v>106</v>
      </c>
      <c r="M207" s="11"/>
      <c r="N207" s="11"/>
      <c r="O207" s="11"/>
    </row>
    <row r="208" customFormat="false" ht="26.85" hidden="false" customHeight="false" outlineLevel="0" collapsed="false">
      <c r="A208" s="12" t="s">
        <v>971</v>
      </c>
      <c r="B208" s="13" t="n">
        <v>12</v>
      </c>
      <c r="C208" s="5" t="s">
        <v>972</v>
      </c>
      <c r="D208" s="7" t="s">
        <v>973</v>
      </c>
      <c r="E208" s="5" t="s">
        <v>972</v>
      </c>
      <c r="F208" s="8" t="s">
        <v>974</v>
      </c>
      <c r="G208" s="8" t="s">
        <v>975</v>
      </c>
      <c r="H208" s="9" t="s">
        <v>976</v>
      </c>
      <c r="I208" s="5" t="s">
        <v>39</v>
      </c>
      <c r="J208" s="10" t="n">
        <v>196</v>
      </c>
      <c r="K208" s="6" t="n">
        <v>2</v>
      </c>
      <c r="L208" s="6" t="n">
        <v>105</v>
      </c>
      <c r="M208" s="11"/>
      <c r="N208" s="11"/>
      <c r="O208" s="11"/>
    </row>
    <row r="209" customFormat="false" ht="17.35" hidden="false" customHeight="false" outlineLevel="0" collapsed="false">
      <c r="A209" s="12" t="s">
        <v>971</v>
      </c>
      <c r="B209" s="13" t="n">
        <v>12</v>
      </c>
      <c r="C209" s="5" t="s">
        <v>977</v>
      </c>
      <c r="D209" s="7" t="s">
        <v>978</v>
      </c>
      <c r="E209" s="5" t="s">
        <v>977</v>
      </c>
      <c r="F209" s="8" t="s">
        <v>979</v>
      </c>
      <c r="G209" s="8"/>
      <c r="H209" s="9" t="s">
        <v>980</v>
      </c>
      <c r="I209" s="5" t="s">
        <v>39</v>
      </c>
      <c r="J209" s="10" t="n">
        <v>31</v>
      </c>
      <c r="K209" s="6" t="n">
        <v>113</v>
      </c>
      <c r="L209" s="6" t="n">
        <v>2</v>
      </c>
      <c r="M209" s="11"/>
      <c r="N209" s="11"/>
      <c r="O209" s="11"/>
    </row>
    <row r="210" customFormat="false" ht="26.85" hidden="false" customHeight="false" outlineLevel="0" collapsed="false">
      <c r="A210" s="12" t="s">
        <v>971</v>
      </c>
      <c r="B210" s="13" t="n">
        <v>12</v>
      </c>
      <c r="C210" s="5" t="s">
        <v>981</v>
      </c>
      <c r="D210" s="7" t="s">
        <v>982</v>
      </c>
      <c r="E210" s="5" t="s">
        <v>983</v>
      </c>
      <c r="F210" s="8" t="s">
        <v>984</v>
      </c>
      <c r="G210" s="8" t="s">
        <v>985</v>
      </c>
      <c r="H210" s="9" t="s">
        <v>986</v>
      </c>
      <c r="I210" s="5" t="s">
        <v>58</v>
      </c>
      <c r="J210" s="10" t="n">
        <v>180</v>
      </c>
      <c r="K210" s="6" t="n">
        <v>2</v>
      </c>
      <c r="L210" s="6" t="n">
        <v>25</v>
      </c>
      <c r="M210" s="11"/>
      <c r="N210" s="11"/>
      <c r="O210" s="11"/>
    </row>
    <row r="211" customFormat="false" ht="17.35" hidden="false" customHeight="false" outlineLevel="0" collapsed="false">
      <c r="A211" s="12" t="s">
        <v>971</v>
      </c>
      <c r="B211" s="13" t="n">
        <v>12</v>
      </c>
      <c r="C211" s="5" t="s">
        <v>987</v>
      </c>
      <c r="D211" s="7" t="s">
        <v>988</v>
      </c>
      <c r="E211" s="5" t="s">
        <v>989</v>
      </c>
      <c r="F211" s="8" t="s">
        <v>990</v>
      </c>
      <c r="G211" s="8"/>
      <c r="H211" s="9" t="s">
        <v>991</v>
      </c>
      <c r="I211" s="5" t="s">
        <v>39</v>
      </c>
      <c r="J211" s="10" t="n">
        <v>194</v>
      </c>
      <c r="K211" s="6" t="n">
        <v>4</v>
      </c>
      <c r="L211" s="6" t="n">
        <v>79</v>
      </c>
      <c r="M211" s="11"/>
      <c r="N211" s="11"/>
      <c r="O211" s="11"/>
    </row>
    <row r="212" customFormat="false" ht="17.35" hidden="false" customHeight="false" outlineLevel="0" collapsed="false">
      <c r="A212" s="12" t="s">
        <v>971</v>
      </c>
      <c r="B212" s="13" t="n">
        <v>12</v>
      </c>
      <c r="C212" s="5" t="s">
        <v>992</v>
      </c>
      <c r="D212" s="7" t="s">
        <v>993</v>
      </c>
      <c r="E212" s="5" t="s">
        <v>994</v>
      </c>
      <c r="F212" s="8" t="s">
        <v>995</v>
      </c>
      <c r="G212" s="8"/>
      <c r="H212" s="9" t="s">
        <v>996</v>
      </c>
      <c r="I212" s="5" t="s">
        <v>39</v>
      </c>
      <c r="J212" s="10" t="n">
        <v>167</v>
      </c>
      <c r="K212" s="6" t="n">
        <v>4</v>
      </c>
      <c r="L212" s="6" t="n">
        <v>79</v>
      </c>
      <c r="M212" s="11"/>
      <c r="N212" s="11"/>
      <c r="O212" s="11"/>
    </row>
    <row r="213" customFormat="false" ht="26.85" hidden="false" customHeight="false" outlineLevel="0" collapsed="false">
      <c r="A213" s="12" t="s">
        <v>971</v>
      </c>
      <c r="B213" s="13" t="n">
        <v>12</v>
      </c>
      <c r="C213" s="5" t="s">
        <v>997</v>
      </c>
      <c r="D213" s="7" t="s">
        <v>998</v>
      </c>
      <c r="E213" s="5" t="s">
        <v>999</v>
      </c>
      <c r="F213" s="8" t="s">
        <v>1000</v>
      </c>
      <c r="G213" s="8" t="s">
        <v>1001</v>
      </c>
      <c r="H213" s="9" t="s">
        <v>1002</v>
      </c>
      <c r="I213" s="5" t="s">
        <v>96</v>
      </c>
      <c r="J213" s="10" t="n">
        <v>315</v>
      </c>
      <c r="K213" s="6" t="n">
        <v>2</v>
      </c>
      <c r="L213" s="6" t="n">
        <v>35</v>
      </c>
      <c r="M213" s="11"/>
      <c r="N213" s="11"/>
      <c r="O213" s="11"/>
    </row>
    <row r="214" customFormat="false" ht="17.35" hidden="false" customHeight="false" outlineLevel="0" collapsed="false">
      <c r="A214" s="12" t="s">
        <v>971</v>
      </c>
      <c r="B214" s="13" t="n">
        <v>12</v>
      </c>
      <c r="C214" s="5" t="s">
        <v>1003</v>
      </c>
      <c r="D214" s="7" t="s">
        <v>1004</v>
      </c>
      <c r="E214" s="5" t="s">
        <v>1005</v>
      </c>
      <c r="F214" s="8" t="s">
        <v>1006</v>
      </c>
      <c r="G214" s="8"/>
      <c r="H214" s="9" t="s">
        <v>1002</v>
      </c>
      <c r="I214" s="5" t="s">
        <v>39</v>
      </c>
      <c r="J214" s="10" t="n">
        <v>315</v>
      </c>
      <c r="K214" s="6" t="n">
        <v>2</v>
      </c>
      <c r="L214" s="6" t="n">
        <v>35</v>
      </c>
      <c r="M214" s="11"/>
      <c r="N214" s="11"/>
      <c r="O214" s="11"/>
    </row>
    <row r="215" customFormat="false" ht="17.35" hidden="false" customHeight="false" outlineLevel="0" collapsed="false">
      <c r="A215" s="12" t="s">
        <v>971</v>
      </c>
      <c r="B215" s="13" t="n">
        <v>12</v>
      </c>
      <c r="C215" s="5" t="s">
        <v>1007</v>
      </c>
      <c r="D215" s="7" t="s">
        <v>1008</v>
      </c>
      <c r="E215" s="5" t="s">
        <v>1009</v>
      </c>
      <c r="F215" s="8" t="s">
        <v>1010</v>
      </c>
      <c r="G215" s="8"/>
      <c r="H215" s="9" t="s">
        <v>1002</v>
      </c>
      <c r="I215" s="5" t="s">
        <v>39</v>
      </c>
      <c r="J215" s="10" t="n">
        <v>315</v>
      </c>
      <c r="K215" s="6" t="n">
        <v>31</v>
      </c>
      <c r="L215" s="6" t="n">
        <v>13</v>
      </c>
      <c r="M215" s="11"/>
      <c r="N215" s="11"/>
      <c r="O215" s="11"/>
    </row>
    <row r="216" customFormat="false" ht="17.35" hidden="false" customHeight="false" outlineLevel="0" collapsed="false">
      <c r="A216" s="12" t="s">
        <v>971</v>
      </c>
      <c r="B216" s="13" t="n">
        <v>12</v>
      </c>
      <c r="C216" s="5" t="s">
        <v>1011</v>
      </c>
      <c r="D216" s="7" t="s">
        <v>1012</v>
      </c>
      <c r="E216" s="5" t="s">
        <v>1013</v>
      </c>
      <c r="F216" s="8" t="s">
        <v>1014</v>
      </c>
      <c r="G216" s="8"/>
      <c r="H216" s="9" t="s">
        <v>1015</v>
      </c>
      <c r="I216" s="5" t="s">
        <v>39</v>
      </c>
      <c r="J216" s="10" t="n">
        <v>50</v>
      </c>
      <c r="K216" s="6" t="n">
        <v>2</v>
      </c>
      <c r="L216" s="6" t="n">
        <v>11</v>
      </c>
      <c r="M216" s="11"/>
      <c r="N216" s="11"/>
      <c r="O216" s="11"/>
    </row>
    <row r="217" customFormat="false" ht="17.35" hidden="false" customHeight="false" outlineLevel="0" collapsed="false">
      <c r="A217" s="12" t="s">
        <v>971</v>
      </c>
      <c r="B217" s="13" t="n">
        <v>12</v>
      </c>
      <c r="C217" s="5" t="s">
        <v>1016</v>
      </c>
      <c r="D217" s="7" t="s">
        <v>1017</v>
      </c>
      <c r="E217" s="5" t="s">
        <v>1016</v>
      </c>
      <c r="F217" s="8" t="s">
        <v>1018</v>
      </c>
      <c r="G217" s="8"/>
      <c r="H217" s="9" t="s">
        <v>1019</v>
      </c>
      <c r="I217" s="5" t="s">
        <v>39</v>
      </c>
      <c r="J217" s="10" t="n">
        <v>48</v>
      </c>
      <c r="K217" s="6" t="n">
        <v>2</v>
      </c>
      <c r="L217" s="6" t="n">
        <v>219</v>
      </c>
      <c r="M217" s="11"/>
      <c r="N217" s="11"/>
      <c r="O217" s="11"/>
    </row>
    <row r="218" customFormat="false" ht="17.35" hidden="false" customHeight="false" outlineLevel="0" collapsed="false">
      <c r="A218" s="12" t="s">
        <v>971</v>
      </c>
      <c r="B218" s="13" t="n">
        <v>12</v>
      </c>
      <c r="C218" s="5" t="s">
        <v>1020</v>
      </c>
      <c r="D218" s="7" t="s">
        <v>1021</v>
      </c>
      <c r="E218" s="5" t="s">
        <v>1020</v>
      </c>
      <c r="F218" s="8" t="s">
        <v>1022</v>
      </c>
      <c r="G218" s="8"/>
      <c r="H218" s="9" t="s">
        <v>1023</v>
      </c>
      <c r="I218" s="5" t="s">
        <v>39</v>
      </c>
      <c r="J218" s="10" t="n">
        <v>39</v>
      </c>
      <c r="K218" s="6" t="n">
        <v>3</v>
      </c>
      <c r="L218" s="6" t="n">
        <v>16</v>
      </c>
      <c r="M218" s="11"/>
      <c r="N218" s="11"/>
      <c r="O218" s="11"/>
    </row>
    <row r="219" customFormat="false" ht="17.35" hidden="false" customHeight="false" outlineLevel="0" collapsed="false">
      <c r="A219" s="12" t="s">
        <v>971</v>
      </c>
      <c r="B219" s="13" t="n">
        <v>12</v>
      </c>
      <c r="C219" s="5" t="s">
        <v>1024</v>
      </c>
      <c r="D219" s="7" t="s">
        <v>1025</v>
      </c>
      <c r="E219" s="5" t="s">
        <v>1026</v>
      </c>
      <c r="F219" s="8" t="s">
        <v>1027</v>
      </c>
      <c r="G219" s="8"/>
      <c r="H219" s="9" t="s">
        <v>1028</v>
      </c>
      <c r="I219" s="5" t="s">
        <v>96</v>
      </c>
      <c r="J219" s="10" t="n">
        <v>35</v>
      </c>
      <c r="K219" s="6" t="n">
        <v>2</v>
      </c>
      <c r="L219" s="6" t="n">
        <v>109</v>
      </c>
      <c r="M219" s="11"/>
      <c r="N219" s="11"/>
      <c r="O219" s="11"/>
    </row>
    <row r="220" customFormat="false" ht="17.35" hidden="false" customHeight="false" outlineLevel="0" collapsed="false">
      <c r="A220" s="12" t="s">
        <v>971</v>
      </c>
      <c r="B220" s="13" t="n">
        <v>12</v>
      </c>
      <c r="C220" s="5" t="s">
        <v>1029</v>
      </c>
      <c r="D220" s="7" t="s">
        <v>1030</v>
      </c>
      <c r="E220" s="5" t="s">
        <v>1029</v>
      </c>
      <c r="F220" s="8" t="s">
        <v>1031</v>
      </c>
      <c r="G220" s="8"/>
      <c r="H220" s="9" t="s">
        <v>147</v>
      </c>
      <c r="I220" s="5" t="s">
        <v>96</v>
      </c>
      <c r="J220" s="10" t="n">
        <v>234</v>
      </c>
      <c r="K220" s="6" t="n">
        <v>2</v>
      </c>
      <c r="L220" s="6" t="n">
        <v>58</v>
      </c>
      <c r="M220" s="11"/>
      <c r="N220" s="11"/>
      <c r="O220" s="11"/>
    </row>
    <row r="221" customFormat="false" ht="17.35" hidden="false" customHeight="false" outlineLevel="0" collapsed="false">
      <c r="A221" s="12" t="s">
        <v>971</v>
      </c>
      <c r="B221" s="13" t="n">
        <v>12</v>
      </c>
      <c r="C221" s="5" t="s">
        <v>1032</v>
      </c>
      <c r="D221" s="7" t="s">
        <v>1033</v>
      </c>
      <c r="E221" s="5" t="s">
        <v>1034</v>
      </c>
      <c r="F221" s="8" t="s">
        <v>1035</v>
      </c>
      <c r="G221" s="8"/>
      <c r="H221" s="9" t="s">
        <v>52</v>
      </c>
      <c r="I221" s="5" t="s">
        <v>96</v>
      </c>
      <c r="J221" s="10" t="n">
        <v>339</v>
      </c>
      <c r="K221" s="6" t="n">
        <v>2</v>
      </c>
      <c r="L221" s="6" t="n">
        <v>64</v>
      </c>
      <c r="M221" s="11"/>
      <c r="N221" s="11"/>
      <c r="O221" s="11"/>
    </row>
    <row r="222" customFormat="false" ht="17.35" hidden="false" customHeight="false" outlineLevel="0" collapsed="false">
      <c r="A222" s="12" t="s">
        <v>971</v>
      </c>
      <c r="B222" s="13" t="n">
        <v>12</v>
      </c>
      <c r="C222" s="5" t="s">
        <v>1036</v>
      </c>
      <c r="D222" s="7" t="s">
        <v>1037</v>
      </c>
      <c r="E222" s="5" t="s">
        <v>1038</v>
      </c>
      <c r="F222" s="8" t="s">
        <v>1039</v>
      </c>
      <c r="G222" s="8"/>
      <c r="H222" s="9" t="s">
        <v>1040</v>
      </c>
      <c r="I222" s="5" t="s">
        <v>96</v>
      </c>
      <c r="J222" s="10" t="n">
        <v>103</v>
      </c>
      <c r="K222" s="6" t="n">
        <v>2</v>
      </c>
      <c r="L222" s="6" t="n">
        <v>45</v>
      </c>
      <c r="M222" s="11"/>
      <c r="N222" s="11"/>
      <c r="O222" s="11"/>
    </row>
    <row r="223" customFormat="false" ht="17.35" hidden="false" customHeight="false" outlineLevel="0" collapsed="false">
      <c r="A223" s="12" t="s">
        <v>971</v>
      </c>
      <c r="B223" s="13" t="n">
        <v>12</v>
      </c>
      <c r="C223" s="5" t="s">
        <v>1041</v>
      </c>
      <c r="D223" s="7" t="s">
        <v>1042</v>
      </c>
      <c r="E223" s="5" t="s">
        <v>1043</v>
      </c>
      <c r="F223" s="8" t="s">
        <v>1044</v>
      </c>
      <c r="G223" s="8"/>
      <c r="H223" s="9" t="s">
        <v>1040</v>
      </c>
      <c r="I223" s="5" t="s">
        <v>39</v>
      </c>
      <c r="J223" s="10" t="n">
        <v>103</v>
      </c>
      <c r="K223" s="6" t="n">
        <v>2</v>
      </c>
      <c r="L223" s="6" t="n">
        <v>45</v>
      </c>
      <c r="M223" s="11"/>
      <c r="N223" s="11"/>
      <c r="O223" s="11"/>
    </row>
    <row r="224" customFormat="false" ht="17.35" hidden="false" customHeight="false" outlineLevel="0" collapsed="false">
      <c r="A224" s="12" t="s">
        <v>971</v>
      </c>
      <c r="B224" s="13" t="n">
        <v>12</v>
      </c>
      <c r="C224" s="5" t="s">
        <v>1045</v>
      </c>
      <c r="D224" s="7" t="s">
        <v>1046</v>
      </c>
      <c r="E224" s="5" t="s">
        <v>1045</v>
      </c>
      <c r="F224" s="8" t="s">
        <v>1047</v>
      </c>
      <c r="G224" s="8"/>
      <c r="H224" s="9" t="s">
        <v>206</v>
      </c>
      <c r="I224" s="5" t="s">
        <v>96</v>
      </c>
      <c r="J224" s="10" t="n">
        <v>75</v>
      </c>
      <c r="K224" s="6" t="n">
        <v>2</v>
      </c>
      <c r="L224" s="6" t="n">
        <v>152</v>
      </c>
      <c r="M224" s="11"/>
      <c r="N224" s="11"/>
      <c r="O224" s="11"/>
    </row>
    <row r="225" customFormat="false" ht="26.85" hidden="false" customHeight="false" outlineLevel="0" collapsed="false">
      <c r="A225" s="12" t="s">
        <v>971</v>
      </c>
      <c r="B225" s="13" t="n">
        <v>12</v>
      </c>
      <c r="C225" s="5" t="s">
        <v>1048</v>
      </c>
      <c r="D225" s="7" t="s">
        <v>1049</v>
      </c>
      <c r="E225" s="5" t="s">
        <v>1048</v>
      </c>
      <c r="F225" s="8" t="s">
        <v>1050</v>
      </c>
      <c r="G225" s="8"/>
      <c r="H225" s="9" t="s">
        <v>1051</v>
      </c>
      <c r="I225" s="5" t="s">
        <v>96</v>
      </c>
      <c r="J225" s="10" t="n">
        <v>161</v>
      </c>
      <c r="K225" s="6" t="n">
        <v>2</v>
      </c>
      <c r="L225" s="6" t="n">
        <v>34</v>
      </c>
      <c r="M225" s="11"/>
      <c r="N225" s="11"/>
      <c r="O225" s="11"/>
    </row>
    <row r="226" customFormat="false" ht="17.35" hidden="false" customHeight="false" outlineLevel="0" collapsed="false">
      <c r="A226" s="12" t="s">
        <v>971</v>
      </c>
      <c r="B226" s="13" t="n">
        <v>12</v>
      </c>
      <c r="C226" s="5" t="s">
        <v>1052</v>
      </c>
      <c r="D226" s="7" t="s">
        <v>1053</v>
      </c>
      <c r="E226" s="5" t="s">
        <v>1054</v>
      </c>
      <c r="F226" s="8" t="s">
        <v>1055</v>
      </c>
      <c r="G226" s="8"/>
      <c r="H226" s="9" t="s">
        <v>1056</v>
      </c>
      <c r="I226" s="5" t="s">
        <v>96</v>
      </c>
      <c r="J226" s="10" t="n">
        <v>95</v>
      </c>
      <c r="K226" s="6" t="n">
        <v>2</v>
      </c>
      <c r="L226" s="6" t="n">
        <v>165</v>
      </c>
      <c r="M226" s="11"/>
      <c r="N226" s="11"/>
      <c r="O226" s="11"/>
    </row>
    <row r="227" customFormat="false" ht="17.35" hidden="false" customHeight="false" outlineLevel="0" collapsed="false">
      <c r="A227" s="12" t="s">
        <v>971</v>
      </c>
      <c r="B227" s="13" t="n">
        <v>12</v>
      </c>
      <c r="C227" s="5" t="s">
        <v>1057</v>
      </c>
      <c r="D227" s="7" t="s">
        <v>1058</v>
      </c>
      <c r="E227" s="5" t="s">
        <v>1057</v>
      </c>
      <c r="F227" s="8" t="s">
        <v>1059</v>
      </c>
      <c r="G227" s="8"/>
      <c r="H227" s="9" t="s">
        <v>1060</v>
      </c>
      <c r="I227" s="5" t="s">
        <v>96</v>
      </c>
      <c r="J227" s="10" t="n">
        <v>41</v>
      </c>
      <c r="K227" s="6" t="n">
        <v>2</v>
      </c>
      <c r="L227" s="6" t="n">
        <v>216</v>
      </c>
      <c r="M227" s="11"/>
      <c r="N227" s="11"/>
      <c r="O227" s="11"/>
    </row>
    <row r="228" customFormat="false" ht="17.35" hidden="false" customHeight="false" outlineLevel="0" collapsed="false">
      <c r="A228" s="12" t="s">
        <v>971</v>
      </c>
      <c r="B228" s="13" t="n">
        <v>12</v>
      </c>
      <c r="C228" s="5" t="s">
        <v>1061</v>
      </c>
      <c r="D228" s="7" t="s">
        <v>1062</v>
      </c>
      <c r="E228" s="5" t="s">
        <v>1063</v>
      </c>
      <c r="F228" s="8" t="s">
        <v>1064</v>
      </c>
      <c r="G228" s="8"/>
      <c r="H228" s="9" t="s">
        <v>1065</v>
      </c>
      <c r="I228" s="5" t="s">
        <v>39</v>
      </c>
      <c r="J228" s="10" t="n">
        <v>28</v>
      </c>
      <c r="K228" s="6" t="n">
        <v>16</v>
      </c>
      <c r="L228" s="6" t="n">
        <v>90</v>
      </c>
      <c r="M228" s="11"/>
      <c r="N228" s="11"/>
      <c r="O228" s="11"/>
    </row>
    <row r="229" customFormat="false" ht="39.55" hidden="false" customHeight="false" outlineLevel="0" collapsed="false">
      <c r="A229" s="5" t="s">
        <v>1066</v>
      </c>
      <c r="B229" s="6" t="n">
        <v>13</v>
      </c>
      <c r="C229" s="5" t="s">
        <v>1067</v>
      </c>
      <c r="D229" s="7" t="s">
        <v>1068</v>
      </c>
      <c r="E229" s="5" t="s">
        <v>1069</v>
      </c>
      <c r="F229" s="8" t="s">
        <v>1070</v>
      </c>
      <c r="G229" s="8" t="s">
        <v>1071</v>
      </c>
      <c r="H229" s="9" t="s">
        <v>1072</v>
      </c>
      <c r="I229" s="5" t="s">
        <v>39</v>
      </c>
      <c r="J229" s="10" t="n">
        <v>513</v>
      </c>
      <c r="K229" s="6" t="n">
        <v>2</v>
      </c>
      <c r="L229" s="6" t="n">
        <v>87</v>
      </c>
      <c r="M229" s="11"/>
      <c r="N229" s="11"/>
      <c r="O229" s="11"/>
    </row>
    <row r="230" customFormat="false" ht="26.85" hidden="false" customHeight="false" outlineLevel="0" collapsed="false">
      <c r="A230" s="5" t="s">
        <v>1066</v>
      </c>
      <c r="B230" s="6" t="n">
        <v>13</v>
      </c>
      <c r="C230" s="5" t="s">
        <v>1073</v>
      </c>
      <c r="D230" s="7" t="s">
        <v>1074</v>
      </c>
      <c r="E230" s="5" t="s">
        <v>1075</v>
      </c>
      <c r="F230" s="8" t="s">
        <v>1076</v>
      </c>
      <c r="G230" s="8" t="s">
        <v>1077</v>
      </c>
      <c r="H230" s="9" t="s">
        <v>1078</v>
      </c>
      <c r="I230" s="5" t="s">
        <v>39</v>
      </c>
      <c r="J230" s="10" t="n">
        <v>160</v>
      </c>
      <c r="K230" s="6" t="n">
        <v>2</v>
      </c>
      <c r="L230" s="6" t="n">
        <v>136</v>
      </c>
      <c r="M230" s="11"/>
      <c r="N230" s="11"/>
      <c r="O230" s="11"/>
    </row>
    <row r="231" customFormat="false" ht="17.35" hidden="false" customHeight="false" outlineLevel="0" collapsed="false">
      <c r="A231" s="5" t="s">
        <v>1066</v>
      </c>
      <c r="B231" s="6" t="n">
        <v>13</v>
      </c>
      <c r="C231" s="5" t="s">
        <v>1079</v>
      </c>
      <c r="D231" s="7" t="s">
        <v>1080</v>
      </c>
      <c r="E231" s="5" t="s">
        <v>1079</v>
      </c>
      <c r="F231" s="8" t="s">
        <v>1081</v>
      </c>
      <c r="G231" s="8"/>
      <c r="H231" s="9" t="s">
        <v>1072</v>
      </c>
      <c r="I231" s="5" t="s">
        <v>96</v>
      </c>
      <c r="J231" s="10" t="n">
        <v>513</v>
      </c>
      <c r="K231" s="6" t="n">
        <v>2</v>
      </c>
      <c r="L231" s="6" t="n">
        <v>151</v>
      </c>
      <c r="M231" s="11"/>
      <c r="N231" s="11"/>
      <c r="O231" s="11"/>
    </row>
    <row r="232" customFormat="false" ht="26.85" hidden="false" customHeight="false" outlineLevel="0" collapsed="false">
      <c r="A232" s="5" t="s">
        <v>1066</v>
      </c>
      <c r="B232" s="6" t="n">
        <v>13</v>
      </c>
      <c r="C232" s="5" t="s">
        <v>1082</v>
      </c>
      <c r="D232" s="7" t="s">
        <v>1083</v>
      </c>
      <c r="E232" s="5" t="s">
        <v>1082</v>
      </c>
      <c r="F232" s="8" t="s">
        <v>1084</v>
      </c>
      <c r="G232" s="8" t="s">
        <v>1085</v>
      </c>
      <c r="H232" s="9" t="s">
        <v>117</v>
      </c>
      <c r="I232" s="5" t="s">
        <v>39</v>
      </c>
      <c r="J232" s="10" t="n">
        <v>660</v>
      </c>
      <c r="K232" s="6" t="n">
        <v>2</v>
      </c>
      <c r="L232" s="6" t="n">
        <v>54</v>
      </c>
      <c r="M232" s="11"/>
      <c r="N232" s="11"/>
      <c r="O232" s="11"/>
    </row>
    <row r="233" customFormat="false" ht="26.85" hidden="false" customHeight="false" outlineLevel="0" collapsed="false">
      <c r="A233" s="5" t="s">
        <v>1066</v>
      </c>
      <c r="B233" s="6" t="n">
        <v>13</v>
      </c>
      <c r="C233" s="5" t="s">
        <v>1086</v>
      </c>
      <c r="D233" s="7" t="s">
        <v>1087</v>
      </c>
      <c r="E233" s="5" t="s">
        <v>1086</v>
      </c>
      <c r="F233" s="8" t="s">
        <v>1088</v>
      </c>
      <c r="G233" s="8" t="s">
        <v>1089</v>
      </c>
      <c r="H233" s="9" t="s">
        <v>1090</v>
      </c>
      <c r="I233" s="5" t="s">
        <v>39</v>
      </c>
      <c r="J233" s="10" t="n">
        <v>119</v>
      </c>
      <c r="K233" s="6" t="n">
        <v>2</v>
      </c>
      <c r="L233" s="6" t="n">
        <v>143</v>
      </c>
      <c r="M233" s="11"/>
      <c r="N233" s="11"/>
      <c r="O233" s="11"/>
    </row>
    <row r="234" customFormat="false" ht="17.35" hidden="false" customHeight="false" outlineLevel="0" collapsed="false">
      <c r="A234" s="5" t="s">
        <v>1066</v>
      </c>
      <c r="B234" s="6" t="n">
        <v>13</v>
      </c>
      <c r="C234" s="5" t="s">
        <v>1091</v>
      </c>
      <c r="D234" s="7" t="s">
        <v>1092</v>
      </c>
      <c r="E234" s="5" t="s">
        <v>1091</v>
      </c>
      <c r="F234" s="8" t="s">
        <v>1093</v>
      </c>
      <c r="G234" s="8" t="s">
        <v>1094</v>
      </c>
      <c r="H234" s="9" t="s">
        <v>1095</v>
      </c>
      <c r="I234" s="5" t="s">
        <v>39</v>
      </c>
      <c r="J234" s="10" t="n">
        <v>127</v>
      </c>
      <c r="K234" s="6" t="n">
        <v>3</v>
      </c>
      <c r="L234" s="6" t="n">
        <v>64</v>
      </c>
      <c r="M234" s="11"/>
      <c r="N234" s="11"/>
      <c r="O234" s="11"/>
    </row>
    <row r="235" customFormat="false" ht="17.35" hidden="false" customHeight="false" outlineLevel="0" collapsed="false">
      <c r="A235" s="5" t="s">
        <v>1066</v>
      </c>
      <c r="B235" s="6" t="n">
        <v>13</v>
      </c>
      <c r="C235" s="5" t="s">
        <v>1096</v>
      </c>
      <c r="D235" s="7" t="s">
        <v>1097</v>
      </c>
      <c r="E235" s="5" t="s">
        <v>1098</v>
      </c>
      <c r="F235" s="8" t="s">
        <v>1099</v>
      </c>
      <c r="G235" s="8"/>
      <c r="H235" s="9"/>
      <c r="I235" s="5" t="s">
        <v>46</v>
      </c>
      <c r="J235" s="10" t="n">
        <v>25</v>
      </c>
      <c r="K235" s="6" t="n">
        <v>2</v>
      </c>
      <c r="L235" s="6" t="n">
        <v>31</v>
      </c>
      <c r="M235" s="11"/>
      <c r="N235" s="11"/>
      <c r="O235" s="11"/>
    </row>
    <row r="236" customFormat="false" ht="17.35" hidden="false" customHeight="false" outlineLevel="0" collapsed="false">
      <c r="A236" s="5" t="s">
        <v>1066</v>
      </c>
      <c r="B236" s="6" t="n">
        <v>13</v>
      </c>
      <c r="C236" s="5" t="s">
        <v>1100</v>
      </c>
      <c r="D236" s="7" t="s">
        <v>1101</v>
      </c>
      <c r="E236" s="5" t="s">
        <v>1102</v>
      </c>
      <c r="F236" s="8" t="s">
        <v>1103</v>
      </c>
      <c r="G236" s="8"/>
      <c r="H236" s="9"/>
      <c r="I236" s="5" t="s">
        <v>46</v>
      </c>
      <c r="J236" s="10" t="n">
        <v>43</v>
      </c>
      <c r="K236" s="6" t="n">
        <v>11</v>
      </c>
      <c r="L236" s="6" t="n">
        <v>25</v>
      </c>
      <c r="M236" s="11"/>
      <c r="N236" s="11"/>
      <c r="O236" s="11"/>
    </row>
    <row r="237" customFormat="false" ht="17.35" hidden="false" customHeight="false" outlineLevel="0" collapsed="false">
      <c r="A237" s="5" t="s">
        <v>1066</v>
      </c>
      <c r="B237" s="6" t="n">
        <v>13</v>
      </c>
      <c r="C237" s="5" t="s">
        <v>1104</v>
      </c>
      <c r="D237" s="7" t="s">
        <v>1105</v>
      </c>
      <c r="E237" s="5" t="s">
        <v>1106</v>
      </c>
      <c r="F237" s="8" t="s">
        <v>1107</v>
      </c>
      <c r="G237" s="8"/>
      <c r="H237" s="9"/>
      <c r="I237" s="5" t="s">
        <v>46</v>
      </c>
      <c r="J237" s="10" t="n">
        <v>69</v>
      </c>
      <c r="K237" s="6" t="n">
        <v>2</v>
      </c>
      <c r="L237" s="6" t="n">
        <v>124</v>
      </c>
      <c r="M237" s="11"/>
      <c r="N237" s="11"/>
      <c r="O237" s="11"/>
    </row>
    <row r="238" customFormat="false" ht="17.35" hidden="false" customHeight="false" outlineLevel="0" collapsed="false">
      <c r="A238" s="5" t="s">
        <v>1066</v>
      </c>
      <c r="B238" s="6" t="n">
        <v>13</v>
      </c>
      <c r="C238" s="5" t="s">
        <v>1108</v>
      </c>
      <c r="D238" s="7" t="s">
        <v>1109</v>
      </c>
      <c r="E238" s="5" t="s">
        <v>1110</v>
      </c>
      <c r="F238" s="8" t="s">
        <v>1111</v>
      </c>
      <c r="G238" s="8" t="s">
        <v>1112</v>
      </c>
      <c r="H238" s="9"/>
      <c r="I238" s="5" t="s">
        <v>46</v>
      </c>
      <c r="J238" s="10" t="n">
        <v>136</v>
      </c>
      <c r="K238" s="6" t="n">
        <v>2</v>
      </c>
      <c r="L238" s="6" t="n">
        <v>51</v>
      </c>
      <c r="M238" s="11"/>
      <c r="N238" s="11"/>
      <c r="O238" s="11"/>
    </row>
    <row r="239" customFormat="false" ht="17.35" hidden="false" customHeight="false" outlineLevel="0" collapsed="false">
      <c r="A239" s="5" t="s">
        <v>1066</v>
      </c>
      <c r="B239" s="6" t="n">
        <v>13</v>
      </c>
      <c r="C239" s="5" t="s">
        <v>1113</v>
      </c>
      <c r="D239" s="7" t="s">
        <v>1114</v>
      </c>
      <c r="E239" s="5" t="s">
        <v>1115</v>
      </c>
      <c r="F239" s="8" t="s">
        <v>1116</v>
      </c>
      <c r="G239" s="8"/>
      <c r="H239" s="9"/>
      <c r="I239" s="5" t="s">
        <v>46</v>
      </c>
      <c r="J239" s="10" t="n">
        <v>25</v>
      </c>
      <c r="K239" s="6" t="n">
        <v>3</v>
      </c>
      <c r="L239" s="6" t="n">
        <v>45</v>
      </c>
      <c r="M239" s="11"/>
      <c r="N239" s="11"/>
      <c r="O239" s="11"/>
    </row>
    <row r="240" customFormat="false" ht="26.85" hidden="false" customHeight="false" outlineLevel="0" collapsed="false">
      <c r="A240" s="5" t="s">
        <v>1066</v>
      </c>
      <c r="B240" s="6" t="n">
        <v>13</v>
      </c>
      <c r="C240" s="5" t="s">
        <v>1117</v>
      </c>
      <c r="D240" s="7" t="s">
        <v>1118</v>
      </c>
      <c r="E240" s="5" t="s">
        <v>1119</v>
      </c>
      <c r="F240" s="8" t="s">
        <v>1120</v>
      </c>
      <c r="G240" s="8" t="s">
        <v>1121</v>
      </c>
      <c r="H240" s="9"/>
      <c r="I240" s="5" t="s">
        <v>46</v>
      </c>
      <c r="J240" s="10" t="n">
        <v>4</v>
      </c>
      <c r="K240" s="6" t="n">
        <v>3</v>
      </c>
      <c r="L240" s="6" t="n">
        <v>144</v>
      </c>
      <c r="M240" s="11"/>
      <c r="N240" s="11"/>
      <c r="O240" s="11"/>
    </row>
    <row r="241" customFormat="false" ht="17.35" hidden="false" customHeight="false" outlineLevel="0" collapsed="false">
      <c r="A241" s="5" t="s">
        <v>1066</v>
      </c>
      <c r="B241" s="6" t="n">
        <v>13</v>
      </c>
      <c r="C241" s="5" t="s">
        <v>1122</v>
      </c>
      <c r="D241" s="7" t="s">
        <v>1123</v>
      </c>
      <c r="E241" s="5" t="s">
        <v>1124</v>
      </c>
      <c r="F241" s="8" t="s">
        <v>1125</v>
      </c>
      <c r="G241" s="8" t="s">
        <v>1126</v>
      </c>
      <c r="H241" s="9"/>
      <c r="I241" s="5" t="s">
        <v>46</v>
      </c>
      <c r="J241" s="10" t="n">
        <v>34</v>
      </c>
      <c r="K241" s="6" t="n">
        <v>3</v>
      </c>
      <c r="L241" s="6" t="n">
        <v>42</v>
      </c>
      <c r="M241" s="11"/>
      <c r="N241" s="11"/>
      <c r="O241" s="11"/>
    </row>
    <row r="242" customFormat="false" ht="17.35" hidden="false" customHeight="false" outlineLevel="0" collapsed="false">
      <c r="A242" s="5" t="s">
        <v>1066</v>
      </c>
      <c r="B242" s="6" t="n">
        <v>13</v>
      </c>
      <c r="C242" s="5" t="s">
        <v>1127</v>
      </c>
      <c r="D242" s="7" t="s">
        <v>1128</v>
      </c>
      <c r="E242" s="5" t="s">
        <v>1129</v>
      </c>
      <c r="F242" s="8" t="s">
        <v>1130</v>
      </c>
      <c r="G242" s="8"/>
      <c r="H242" s="9"/>
      <c r="I242" s="5" t="s">
        <v>46</v>
      </c>
      <c r="J242" s="10" t="n">
        <v>74</v>
      </c>
      <c r="K242" s="6" t="n">
        <v>2</v>
      </c>
      <c r="L242" s="6" t="n">
        <v>49</v>
      </c>
      <c r="M242" s="11"/>
      <c r="N242" s="11"/>
      <c r="O242" s="11"/>
    </row>
    <row r="243" customFormat="false" ht="26.85" hidden="false" customHeight="false" outlineLevel="0" collapsed="false">
      <c r="A243" s="5" t="s">
        <v>1066</v>
      </c>
      <c r="B243" s="6" t="n">
        <v>13</v>
      </c>
      <c r="C243" s="5" t="s">
        <v>1131</v>
      </c>
      <c r="D243" s="7" t="s">
        <v>1132</v>
      </c>
      <c r="E243" s="5" t="s">
        <v>1133</v>
      </c>
      <c r="F243" s="8" t="s">
        <v>1134</v>
      </c>
      <c r="G243" s="8" t="s">
        <v>1135</v>
      </c>
      <c r="H243" s="9"/>
      <c r="I243" s="5" t="s">
        <v>46</v>
      </c>
      <c r="J243" s="10" t="n">
        <v>43</v>
      </c>
      <c r="K243" s="6" t="n">
        <v>2</v>
      </c>
      <c r="L243" s="6" t="n">
        <v>40</v>
      </c>
      <c r="M243" s="11"/>
      <c r="N243" s="11"/>
      <c r="O243" s="11"/>
    </row>
    <row r="244" customFormat="false" ht="17.35" hidden="false" customHeight="false" outlineLevel="0" collapsed="false">
      <c r="A244" s="5" t="s">
        <v>1066</v>
      </c>
      <c r="B244" s="6" t="n">
        <v>13</v>
      </c>
      <c r="C244" s="5" t="s">
        <v>1136</v>
      </c>
      <c r="D244" s="7" t="s">
        <v>1137</v>
      </c>
      <c r="E244" s="5" t="s">
        <v>1138</v>
      </c>
      <c r="F244" s="8" t="s">
        <v>1139</v>
      </c>
      <c r="G244" s="8"/>
      <c r="H244" s="9" t="s">
        <v>1140</v>
      </c>
      <c r="I244" s="5" t="s">
        <v>39</v>
      </c>
      <c r="J244" s="10" t="n">
        <v>30</v>
      </c>
      <c r="K244" s="6" t="n">
        <v>2</v>
      </c>
      <c r="L244" s="6" t="n">
        <v>120</v>
      </c>
      <c r="M244" s="11"/>
      <c r="N244" s="11"/>
      <c r="O244" s="11"/>
    </row>
    <row r="245" customFormat="false" ht="17.35" hidden="false" customHeight="false" outlineLevel="0" collapsed="false">
      <c r="A245" s="5" t="s">
        <v>1066</v>
      </c>
      <c r="B245" s="6" t="n">
        <v>13</v>
      </c>
      <c r="C245" s="5" t="s">
        <v>1141</v>
      </c>
      <c r="D245" s="7" t="s">
        <v>1142</v>
      </c>
      <c r="E245" s="5" t="s">
        <v>1143</v>
      </c>
      <c r="F245" s="8" t="s">
        <v>1144</v>
      </c>
      <c r="G245" s="8"/>
      <c r="H245" s="9" t="s">
        <v>1145</v>
      </c>
      <c r="I245" s="5" t="s">
        <v>39</v>
      </c>
      <c r="J245" s="10" t="n">
        <v>158</v>
      </c>
      <c r="K245" s="6" t="n">
        <v>2</v>
      </c>
      <c r="L245" s="6" t="n">
        <v>120</v>
      </c>
      <c r="M245" s="11"/>
      <c r="N245" s="11"/>
      <c r="O245" s="11"/>
    </row>
    <row r="246" customFormat="false" ht="26.85" hidden="false" customHeight="false" outlineLevel="0" collapsed="false">
      <c r="A246" s="12" t="s">
        <v>1146</v>
      </c>
      <c r="B246" s="13" t="n">
        <v>14</v>
      </c>
      <c r="C246" s="5" t="s">
        <v>1147</v>
      </c>
      <c r="D246" s="7" t="s">
        <v>1148</v>
      </c>
      <c r="E246" s="5" t="s">
        <v>1149</v>
      </c>
      <c r="F246" s="8" t="s">
        <v>1150</v>
      </c>
      <c r="G246" s="8" t="s">
        <v>1151</v>
      </c>
      <c r="H246" s="9" t="s">
        <v>1152</v>
      </c>
      <c r="I246" s="5" t="s">
        <v>39</v>
      </c>
      <c r="J246" s="10" t="n">
        <v>99</v>
      </c>
      <c r="K246" s="6" t="n">
        <v>2</v>
      </c>
      <c r="L246" s="6" t="n">
        <v>3</v>
      </c>
      <c r="M246" s="11"/>
      <c r="N246" s="11"/>
      <c r="O246" s="11"/>
    </row>
    <row r="247" customFormat="false" ht="26.85" hidden="false" customHeight="false" outlineLevel="0" collapsed="false">
      <c r="A247" s="12" t="s">
        <v>1146</v>
      </c>
      <c r="B247" s="13" t="n">
        <v>14</v>
      </c>
      <c r="C247" s="5" t="s">
        <v>1153</v>
      </c>
      <c r="D247" s="7" t="s">
        <v>1154</v>
      </c>
      <c r="E247" s="5" t="s">
        <v>1155</v>
      </c>
      <c r="F247" s="8" t="s">
        <v>1156</v>
      </c>
      <c r="G247" s="8" t="s">
        <v>1157</v>
      </c>
      <c r="H247" s="9" t="s">
        <v>117</v>
      </c>
      <c r="I247" s="5" t="s">
        <v>96</v>
      </c>
      <c r="J247" s="10" t="n">
        <v>660</v>
      </c>
      <c r="K247" s="6" t="n">
        <v>2</v>
      </c>
      <c r="L247" s="6" t="n">
        <v>3</v>
      </c>
      <c r="M247" s="11"/>
      <c r="N247" s="11"/>
      <c r="O247" s="11"/>
    </row>
    <row r="248" customFormat="false" ht="17.35" hidden="false" customHeight="false" outlineLevel="0" collapsed="false">
      <c r="A248" s="12" t="s">
        <v>1146</v>
      </c>
      <c r="B248" s="13" t="n">
        <v>14</v>
      </c>
      <c r="C248" s="5" t="s">
        <v>1158</v>
      </c>
      <c r="D248" s="7" t="s">
        <v>1159</v>
      </c>
      <c r="E248" s="5" t="s">
        <v>1160</v>
      </c>
      <c r="F248" s="8" t="s">
        <v>1161</v>
      </c>
      <c r="G248" s="8" t="s">
        <v>1162</v>
      </c>
      <c r="H248" s="9" t="s">
        <v>1163</v>
      </c>
      <c r="I248" s="5" t="s">
        <v>39</v>
      </c>
      <c r="J248" s="10" t="n">
        <v>59</v>
      </c>
      <c r="K248" s="6" t="n">
        <v>2</v>
      </c>
      <c r="L248" s="6" t="n">
        <v>43</v>
      </c>
      <c r="M248" s="11"/>
      <c r="N248" s="11"/>
      <c r="O248" s="11"/>
    </row>
    <row r="249" customFormat="false" ht="26.85" hidden="false" customHeight="false" outlineLevel="0" collapsed="false">
      <c r="A249" s="12" t="s">
        <v>1146</v>
      </c>
      <c r="B249" s="13" t="n">
        <v>14</v>
      </c>
      <c r="C249" s="5" t="s">
        <v>1164</v>
      </c>
      <c r="D249" s="7" t="s">
        <v>1165</v>
      </c>
      <c r="E249" s="5" t="s">
        <v>1166</v>
      </c>
      <c r="F249" s="8" t="s">
        <v>1167</v>
      </c>
      <c r="G249" s="8" t="s">
        <v>1168</v>
      </c>
      <c r="H249" s="9" t="s">
        <v>1169</v>
      </c>
      <c r="I249" s="5" t="s">
        <v>39</v>
      </c>
      <c r="J249" s="10" t="n">
        <v>14</v>
      </c>
      <c r="K249" s="6" t="n">
        <v>2</v>
      </c>
      <c r="L249" s="6" t="n">
        <v>183</v>
      </c>
      <c r="M249" s="11"/>
      <c r="N249" s="11"/>
      <c r="O249" s="11"/>
    </row>
    <row r="250" customFormat="false" ht="26.85" hidden="false" customHeight="false" outlineLevel="0" collapsed="false">
      <c r="A250" s="12" t="s">
        <v>1146</v>
      </c>
      <c r="B250" s="13" t="n">
        <v>14</v>
      </c>
      <c r="C250" s="5" t="s">
        <v>1170</v>
      </c>
      <c r="D250" s="7" t="s">
        <v>1171</v>
      </c>
      <c r="E250" s="5" t="s">
        <v>1172</v>
      </c>
      <c r="F250" s="8" t="s">
        <v>1173</v>
      </c>
      <c r="G250" s="8" t="s">
        <v>1174</v>
      </c>
      <c r="H250" s="9" t="s">
        <v>1175</v>
      </c>
      <c r="I250" s="5" t="s">
        <v>39</v>
      </c>
      <c r="J250" s="10" t="n">
        <v>33</v>
      </c>
      <c r="K250" s="6" t="n">
        <v>2</v>
      </c>
      <c r="L250" s="6" t="n">
        <v>197</v>
      </c>
      <c r="M250" s="11"/>
      <c r="N250" s="11"/>
      <c r="O250" s="11"/>
    </row>
    <row r="251" customFormat="false" ht="17.35" hidden="false" customHeight="false" outlineLevel="0" collapsed="false">
      <c r="A251" s="12" t="s">
        <v>1146</v>
      </c>
      <c r="B251" s="13" t="n">
        <v>14</v>
      </c>
      <c r="C251" s="5" t="s">
        <v>1176</v>
      </c>
      <c r="D251" s="7" t="s">
        <v>1177</v>
      </c>
      <c r="E251" s="5" t="s">
        <v>1176</v>
      </c>
      <c r="F251" s="8" t="s">
        <v>1178</v>
      </c>
      <c r="G251" s="8"/>
      <c r="H251" s="9" t="s">
        <v>1179</v>
      </c>
      <c r="I251" s="5" t="s">
        <v>96</v>
      </c>
      <c r="J251" s="10" t="n">
        <v>92</v>
      </c>
      <c r="K251" s="6" t="n">
        <v>2</v>
      </c>
      <c r="L251" s="6" t="n">
        <v>34</v>
      </c>
      <c r="M251" s="11"/>
      <c r="N251" s="11"/>
      <c r="O251" s="11"/>
    </row>
    <row r="252" customFormat="false" ht="17.35" hidden="false" customHeight="false" outlineLevel="0" collapsed="false">
      <c r="A252" s="12" t="s">
        <v>1146</v>
      </c>
      <c r="B252" s="13" t="n">
        <v>14</v>
      </c>
      <c r="C252" s="5" t="s">
        <v>1180</v>
      </c>
      <c r="D252" s="7" t="s">
        <v>1181</v>
      </c>
      <c r="E252" s="5" t="s">
        <v>1182</v>
      </c>
      <c r="F252" s="8" t="s">
        <v>1183</v>
      </c>
      <c r="G252" s="8"/>
      <c r="H252" s="9" t="s">
        <v>1184</v>
      </c>
      <c r="I252" s="5" t="s">
        <v>96</v>
      </c>
      <c r="J252" s="10" t="n">
        <v>13</v>
      </c>
      <c r="K252" s="6" t="n">
        <v>2</v>
      </c>
      <c r="L252" s="6" t="n">
        <v>43</v>
      </c>
      <c r="M252" s="11"/>
      <c r="N252" s="11"/>
      <c r="O252" s="11"/>
    </row>
    <row r="253" customFormat="false" ht="17.35" hidden="false" customHeight="false" outlineLevel="0" collapsed="false">
      <c r="A253" s="12" t="s">
        <v>1146</v>
      </c>
      <c r="B253" s="13" t="n">
        <v>14</v>
      </c>
      <c r="C253" s="5" t="s">
        <v>1185</v>
      </c>
      <c r="D253" s="7" t="s">
        <v>1186</v>
      </c>
      <c r="E253" s="5" t="s">
        <v>1185</v>
      </c>
      <c r="F253" s="8" t="s">
        <v>1187</v>
      </c>
      <c r="G253" s="8"/>
      <c r="H253" s="9" t="s">
        <v>1179</v>
      </c>
      <c r="I253" s="5" t="s">
        <v>39</v>
      </c>
      <c r="J253" s="10" t="n">
        <v>92</v>
      </c>
      <c r="K253" s="6" t="n">
        <v>2</v>
      </c>
      <c r="L253" s="6" t="n">
        <v>114</v>
      </c>
      <c r="M253" s="11"/>
      <c r="N253" s="11"/>
      <c r="O253" s="11"/>
    </row>
    <row r="254" customFormat="false" ht="17.35" hidden="false" customHeight="false" outlineLevel="0" collapsed="false">
      <c r="A254" s="12" t="s">
        <v>1146</v>
      </c>
      <c r="B254" s="13" t="n">
        <v>14</v>
      </c>
      <c r="C254" s="5" t="s">
        <v>1188</v>
      </c>
      <c r="D254" s="7" t="s">
        <v>1189</v>
      </c>
      <c r="E254" s="5" t="s">
        <v>1190</v>
      </c>
      <c r="F254" s="8" t="s">
        <v>1191</v>
      </c>
      <c r="G254" s="8"/>
      <c r="H254" s="9" t="s">
        <v>1192</v>
      </c>
      <c r="I254" s="5" t="s">
        <v>96</v>
      </c>
      <c r="J254" s="10" t="n">
        <v>212</v>
      </c>
      <c r="K254" s="6" t="n">
        <v>2</v>
      </c>
      <c r="L254" s="6" t="n">
        <v>186</v>
      </c>
      <c r="M254" s="11"/>
      <c r="N254" s="11"/>
      <c r="O254" s="11"/>
    </row>
    <row r="255" customFormat="false" ht="17.35" hidden="false" customHeight="false" outlineLevel="0" collapsed="false">
      <c r="A255" s="12" t="s">
        <v>1146</v>
      </c>
      <c r="B255" s="13" t="n">
        <v>14</v>
      </c>
      <c r="C255" s="5" t="s">
        <v>1193</v>
      </c>
      <c r="D255" s="7" t="s">
        <v>1194</v>
      </c>
      <c r="E255" s="5" t="s">
        <v>1195</v>
      </c>
      <c r="F255" s="8" t="s">
        <v>1196</v>
      </c>
      <c r="G255" s="8"/>
      <c r="H255" s="9" t="s">
        <v>1192</v>
      </c>
      <c r="I255" s="5" t="s">
        <v>39</v>
      </c>
      <c r="J255" s="10" t="n">
        <v>212</v>
      </c>
      <c r="K255" s="6" t="n">
        <v>2</v>
      </c>
      <c r="L255" s="6" t="n">
        <v>186</v>
      </c>
      <c r="M255" s="11"/>
      <c r="N255" s="11"/>
      <c r="O255" s="11"/>
    </row>
    <row r="256" customFormat="false" ht="26.85" hidden="false" customHeight="false" outlineLevel="0" collapsed="false">
      <c r="A256" s="12" t="s">
        <v>1146</v>
      </c>
      <c r="B256" s="13" t="n">
        <v>14</v>
      </c>
      <c r="C256" s="5" t="s">
        <v>1197</v>
      </c>
      <c r="D256" s="7" t="s">
        <v>1198</v>
      </c>
      <c r="E256" s="5" t="s">
        <v>1199</v>
      </c>
      <c r="F256" s="8" t="s">
        <v>1200</v>
      </c>
      <c r="G256" s="8" t="s">
        <v>1201</v>
      </c>
      <c r="H256" s="9" t="s">
        <v>1202</v>
      </c>
      <c r="I256" s="5" t="s">
        <v>96</v>
      </c>
      <c r="J256" s="10" t="n">
        <v>92</v>
      </c>
      <c r="K256" s="6" t="n">
        <v>17</v>
      </c>
      <c r="L256" s="6" t="n">
        <v>44</v>
      </c>
      <c r="M256" s="11"/>
      <c r="N256" s="11"/>
      <c r="O256" s="11"/>
    </row>
    <row r="257" customFormat="false" ht="17.35" hidden="false" customHeight="false" outlineLevel="0" collapsed="false">
      <c r="A257" s="12" t="s">
        <v>1146</v>
      </c>
      <c r="B257" s="13" t="n">
        <v>14</v>
      </c>
      <c r="C257" s="5" t="s">
        <v>1203</v>
      </c>
      <c r="D257" s="7" t="s">
        <v>1204</v>
      </c>
      <c r="E257" s="5" t="s">
        <v>1205</v>
      </c>
      <c r="F257" s="8" t="s">
        <v>1206</v>
      </c>
      <c r="G257" s="8"/>
      <c r="H257" s="9" t="s">
        <v>1207</v>
      </c>
      <c r="I257" s="5" t="s">
        <v>96</v>
      </c>
      <c r="J257" s="10" t="n">
        <v>43</v>
      </c>
      <c r="K257" s="6" t="n">
        <v>2</v>
      </c>
      <c r="L257" s="6" t="n">
        <v>186</v>
      </c>
      <c r="M257" s="11"/>
      <c r="N257" s="11"/>
      <c r="O257" s="11"/>
    </row>
    <row r="258" customFormat="false" ht="17.35" hidden="false" customHeight="false" outlineLevel="0" collapsed="false">
      <c r="A258" s="12" t="s">
        <v>1146</v>
      </c>
      <c r="B258" s="13" t="n">
        <v>14</v>
      </c>
      <c r="C258" s="5" t="s">
        <v>1208</v>
      </c>
      <c r="D258" s="7" t="s">
        <v>1209</v>
      </c>
      <c r="E258" s="5" t="s">
        <v>1208</v>
      </c>
      <c r="F258" s="8" t="s">
        <v>1210</v>
      </c>
      <c r="G258" s="8"/>
      <c r="H258" s="9" t="s">
        <v>440</v>
      </c>
      <c r="I258" s="5" t="s">
        <v>96</v>
      </c>
      <c r="J258" s="10" t="n">
        <v>111</v>
      </c>
      <c r="K258" s="6" t="n">
        <v>2</v>
      </c>
      <c r="L258" s="6" t="n">
        <v>3</v>
      </c>
      <c r="M258" s="11"/>
      <c r="N258" s="11"/>
      <c r="O258" s="11"/>
    </row>
    <row r="259" customFormat="false" ht="26.85" hidden="false" customHeight="false" outlineLevel="0" collapsed="false">
      <c r="A259" s="12" t="s">
        <v>1146</v>
      </c>
      <c r="B259" s="13" t="n">
        <v>14</v>
      </c>
      <c r="C259" s="5" t="s">
        <v>1211</v>
      </c>
      <c r="D259" s="7" t="s">
        <v>1212</v>
      </c>
      <c r="E259" s="5" t="s">
        <v>447</v>
      </c>
      <c r="F259" s="8" t="s">
        <v>1213</v>
      </c>
      <c r="G259" s="8" t="s">
        <v>1214</v>
      </c>
      <c r="H259" s="9" t="s">
        <v>449</v>
      </c>
      <c r="I259" s="5" t="s">
        <v>39</v>
      </c>
      <c r="J259" s="10" t="n">
        <v>155</v>
      </c>
      <c r="K259" s="6" t="n">
        <v>2</v>
      </c>
      <c r="L259" s="6" t="n">
        <v>263</v>
      </c>
      <c r="M259" s="11"/>
      <c r="N259" s="11"/>
      <c r="O259" s="11"/>
    </row>
    <row r="260" customFormat="false" ht="17.35" hidden="false" customHeight="false" outlineLevel="0" collapsed="false">
      <c r="A260" s="12" t="s">
        <v>1146</v>
      </c>
      <c r="B260" s="13" t="n">
        <v>14</v>
      </c>
      <c r="C260" s="5" t="s">
        <v>1215</v>
      </c>
      <c r="D260" s="7" t="s">
        <v>1216</v>
      </c>
      <c r="E260" s="5" t="s">
        <v>1217</v>
      </c>
      <c r="F260" s="8" t="s">
        <v>1218</v>
      </c>
      <c r="G260" s="8"/>
      <c r="H260" s="9" t="s">
        <v>1219</v>
      </c>
      <c r="I260" s="5" t="s">
        <v>96</v>
      </c>
      <c r="J260" s="10" t="n">
        <v>31</v>
      </c>
      <c r="K260" s="6" t="n">
        <v>2</v>
      </c>
      <c r="L260" s="6" t="n">
        <v>222</v>
      </c>
      <c r="M260" s="11"/>
      <c r="N260" s="11"/>
      <c r="O260" s="11"/>
    </row>
    <row r="261" customFormat="false" ht="17.35" hidden="false" customHeight="false" outlineLevel="0" collapsed="false">
      <c r="A261" s="12" t="s">
        <v>1146</v>
      </c>
      <c r="B261" s="13" t="n">
        <v>14</v>
      </c>
      <c r="C261" s="5" t="s">
        <v>1220</v>
      </c>
      <c r="D261" s="7" t="s">
        <v>1221</v>
      </c>
      <c r="E261" s="5" t="s">
        <v>1222</v>
      </c>
      <c r="F261" s="8" t="s">
        <v>1223</v>
      </c>
      <c r="G261" s="8"/>
      <c r="H261" s="9"/>
      <c r="I261" s="5" t="s">
        <v>46</v>
      </c>
      <c r="J261" s="10" t="n">
        <v>2</v>
      </c>
      <c r="K261" s="6" t="n">
        <v>5</v>
      </c>
      <c r="L261" s="6" t="n">
        <v>97</v>
      </c>
      <c r="M261" s="11"/>
      <c r="N261" s="11"/>
      <c r="O261" s="11"/>
    </row>
    <row r="262" customFormat="false" ht="17.35" hidden="false" customHeight="false" outlineLevel="0" collapsed="false">
      <c r="A262" s="5" t="s">
        <v>1224</v>
      </c>
      <c r="B262" s="6" t="n">
        <v>15</v>
      </c>
      <c r="C262" s="5" t="s">
        <v>1225</v>
      </c>
      <c r="D262" s="7" t="s">
        <v>1226</v>
      </c>
      <c r="E262" s="5" t="s">
        <v>1225</v>
      </c>
      <c r="F262" s="8" t="s">
        <v>1227</v>
      </c>
      <c r="G262" s="8"/>
      <c r="H262" s="9" t="s">
        <v>1228</v>
      </c>
      <c r="I262" s="5" t="s">
        <v>39</v>
      </c>
      <c r="J262" s="10" t="n">
        <v>117</v>
      </c>
      <c r="K262" s="6" t="n">
        <v>12</v>
      </c>
      <c r="L262" s="6" t="n">
        <v>4</v>
      </c>
      <c r="M262" s="11"/>
      <c r="N262" s="11"/>
      <c r="O262" s="11"/>
    </row>
    <row r="263" customFormat="false" ht="17.35" hidden="false" customHeight="false" outlineLevel="0" collapsed="false">
      <c r="A263" s="5" t="s">
        <v>1224</v>
      </c>
      <c r="B263" s="6" t="n">
        <v>15</v>
      </c>
      <c r="C263" s="5" t="s">
        <v>1229</v>
      </c>
      <c r="D263" s="7" t="s">
        <v>1230</v>
      </c>
      <c r="E263" s="5" t="s">
        <v>1229</v>
      </c>
      <c r="F263" s="8" t="s">
        <v>1231</v>
      </c>
      <c r="G263" s="8"/>
      <c r="H263" s="9" t="s">
        <v>1090</v>
      </c>
      <c r="I263" s="5" t="s">
        <v>39</v>
      </c>
      <c r="J263" s="10" t="n">
        <v>119</v>
      </c>
      <c r="K263" s="6" t="n">
        <v>31</v>
      </c>
      <c r="L263" s="6" t="n">
        <v>14</v>
      </c>
      <c r="M263" s="11"/>
      <c r="N263" s="11"/>
      <c r="O263" s="11"/>
    </row>
    <row r="264" customFormat="false" ht="17.35" hidden="false" customHeight="false" outlineLevel="0" collapsed="false">
      <c r="A264" s="5" t="s">
        <v>1224</v>
      </c>
      <c r="B264" s="6" t="n">
        <v>15</v>
      </c>
      <c r="C264" s="5" t="s">
        <v>1232</v>
      </c>
      <c r="D264" s="7" t="s">
        <v>1233</v>
      </c>
      <c r="E264" s="5" t="s">
        <v>1232</v>
      </c>
      <c r="F264" s="8" t="s">
        <v>1234</v>
      </c>
      <c r="G264" s="8"/>
      <c r="H264" s="9" t="s">
        <v>1235</v>
      </c>
      <c r="I264" s="5" t="s">
        <v>39</v>
      </c>
      <c r="J264" s="10" t="n">
        <v>184</v>
      </c>
      <c r="K264" s="6" t="n">
        <v>2</v>
      </c>
      <c r="L264" s="6" t="n">
        <v>87</v>
      </c>
      <c r="M264" s="11"/>
      <c r="N264" s="11"/>
      <c r="O264" s="11"/>
    </row>
    <row r="265" customFormat="false" ht="17.35" hidden="false" customHeight="false" outlineLevel="0" collapsed="false">
      <c r="A265" s="5" t="s">
        <v>1224</v>
      </c>
      <c r="B265" s="6" t="n">
        <v>15</v>
      </c>
      <c r="C265" s="5" t="s">
        <v>1236</v>
      </c>
      <c r="D265" s="7" t="s">
        <v>1237</v>
      </c>
      <c r="E265" s="5" t="s">
        <v>1236</v>
      </c>
      <c r="F265" s="8" t="s">
        <v>1238</v>
      </c>
      <c r="G265" s="8"/>
      <c r="H265" s="9" t="s">
        <v>1239</v>
      </c>
      <c r="I265" s="5" t="s">
        <v>39</v>
      </c>
      <c r="J265" s="10" t="n">
        <v>102</v>
      </c>
      <c r="K265" s="6" t="n">
        <v>2</v>
      </c>
      <c r="L265" s="6" t="n">
        <v>116</v>
      </c>
      <c r="M265" s="11"/>
      <c r="N265" s="11"/>
      <c r="O265" s="11"/>
    </row>
    <row r="266" customFormat="false" ht="17.35" hidden="false" customHeight="false" outlineLevel="0" collapsed="false">
      <c r="A266" s="5" t="s">
        <v>1224</v>
      </c>
      <c r="B266" s="6" t="n">
        <v>15</v>
      </c>
      <c r="C266" s="5" t="s">
        <v>1240</v>
      </c>
      <c r="D266" s="7" t="s">
        <v>1241</v>
      </c>
      <c r="E266" s="5" t="s">
        <v>1240</v>
      </c>
      <c r="F266" s="8" t="s">
        <v>1242</v>
      </c>
      <c r="G266" s="8"/>
      <c r="H266" s="9" t="s">
        <v>1243</v>
      </c>
      <c r="I266" s="5" t="s">
        <v>39</v>
      </c>
      <c r="J266" s="10" t="n">
        <v>81</v>
      </c>
      <c r="K266" s="6" t="n">
        <v>2</v>
      </c>
      <c r="L266" s="6" t="n">
        <v>35</v>
      </c>
      <c r="M266" s="11"/>
      <c r="N266" s="11"/>
      <c r="O266" s="11"/>
    </row>
    <row r="267" customFormat="false" ht="17.35" hidden="false" customHeight="false" outlineLevel="0" collapsed="false">
      <c r="A267" s="5" t="s">
        <v>1224</v>
      </c>
      <c r="B267" s="6" t="n">
        <v>15</v>
      </c>
      <c r="C267" s="5" t="s">
        <v>1244</v>
      </c>
      <c r="D267" s="7" t="s">
        <v>1245</v>
      </c>
      <c r="E267" s="5" t="s">
        <v>1244</v>
      </c>
      <c r="F267" s="8" t="s">
        <v>1246</v>
      </c>
      <c r="G267" s="8"/>
      <c r="H267" s="9" t="s">
        <v>1247</v>
      </c>
      <c r="I267" s="5" t="s">
        <v>39</v>
      </c>
      <c r="J267" s="10" t="n">
        <v>96</v>
      </c>
      <c r="K267" s="6" t="n">
        <v>7</v>
      </c>
      <c r="L267" s="6" t="n">
        <v>65</v>
      </c>
      <c r="M267" s="11"/>
      <c r="N267" s="11"/>
      <c r="O267" s="11"/>
    </row>
    <row r="268" customFormat="false" ht="17.35" hidden="false" customHeight="false" outlineLevel="0" collapsed="false">
      <c r="A268" s="5" t="s">
        <v>1224</v>
      </c>
      <c r="B268" s="6" t="n">
        <v>15</v>
      </c>
      <c r="C268" s="5" t="s">
        <v>1248</v>
      </c>
      <c r="D268" s="7" t="s">
        <v>1249</v>
      </c>
      <c r="E268" s="5" t="s">
        <v>1248</v>
      </c>
      <c r="F268" s="8" t="s">
        <v>1250</v>
      </c>
      <c r="G268" s="8"/>
      <c r="H268" s="9" t="s">
        <v>1247</v>
      </c>
      <c r="I268" s="5" t="s">
        <v>39</v>
      </c>
      <c r="J268" s="10" t="n">
        <v>96</v>
      </c>
      <c r="K268" s="6" t="n">
        <v>4</v>
      </c>
      <c r="L268" s="6" t="n">
        <v>12</v>
      </c>
      <c r="M268" s="11"/>
      <c r="N268" s="11"/>
      <c r="O268" s="11"/>
    </row>
    <row r="269" customFormat="false" ht="17.35" hidden="false" customHeight="false" outlineLevel="0" collapsed="false">
      <c r="A269" s="5" t="s">
        <v>1224</v>
      </c>
      <c r="B269" s="6" t="n">
        <v>15</v>
      </c>
      <c r="C269" s="5" t="s">
        <v>1251</v>
      </c>
      <c r="D269" s="7" t="s">
        <v>1252</v>
      </c>
      <c r="E269" s="5" t="s">
        <v>1253</v>
      </c>
      <c r="F269" s="8" t="s">
        <v>1254</v>
      </c>
      <c r="G269" s="8"/>
      <c r="H269" s="9" t="s">
        <v>1255</v>
      </c>
      <c r="I269" s="5" t="s">
        <v>39</v>
      </c>
      <c r="J269" s="10" t="n">
        <v>38</v>
      </c>
      <c r="K269" s="6" t="n">
        <v>3</v>
      </c>
      <c r="L269" s="6" t="n">
        <v>35</v>
      </c>
      <c r="M269" s="11"/>
      <c r="N269" s="11"/>
      <c r="O269" s="11"/>
    </row>
    <row r="270" customFormat="false" ht="17.35" hidden="false" customHeight="false" outlineLevel="0" collapsed="false">
      <c r="A270" s="5" t="s">
        <v>1224</v>
      </c>
      <c r="B270" s="6" t="n">
        <v>15</v>
      </c>
      <c r="C270" s="5" t="s">
        <v>1256</v>
      </c>
      <c r="D270" s="7" t="s">
        <v>1257</v>
      </c>
      <c r="E270" s="5" t="s">
        <v>1256</v>
      </c>
      <c r="F270" s="8" t="s">
        <v>1258</v>
      </c>
      <c r="G270" s="8"/>
      <c r="H270" s="9" t="s">
        <v>947</v>
      </c>
      <c r="I270" s="5" t="s">
        <v>39</v>
      </c>
      <c r="J270" s="10" t="n">
        <v>73</v>
      </c>
      <c r="K270" s="6" t="n">
        <v>2</v>
      </c>
      <c r="L270" s="6" t="n">
        <v>282</v>
      </c>
      <c r="M270" s="11"/>
      <c r="N270" s="11"/>
      <c r="O270" s="11"/>
    </row>
    <row r="271" customFormat="false" ht="17.35" hidden="false" customHeight="false" outlineLevel="0" collapsed="false">
      <c r="A271" s="5" t="s">
        <v>1224</v>
      </c>
      <c r="B271" s="6" t="n">
        <v>15</v>
      </c>
      <c r="C271" s="5" t="s">
        <v>1259</v>
      </c>
      <c r="D271" s="7" t="s">
        <v>1260</v>
      </c>
      <c r="E271" s="5" t="s">
        <v>1261</v>
      </c>
      <c r="F271" s="8" t="s">
        <v>1262</v>
      </c>
      <c r="G271" s="8"/>
      <c r="H271" s="9" t="s">
        <v>1263</v>
      </c>
      <c r="I271" s="5" t="s">
        <v>39</v>
      </c>
      <c r="J271" s="10" t="n">
        <v>86</v>
      </c>
      <c r="K271" s="6" t="n">
        <v>2</v>
      </c>
      <c r="L271" s="6" t="n">
        <v>155</v>
      </c>
      <c r="M271" s="11"/>
      <c r="N271" s="11"/>
      <c r="O271" s="11"/>
    </row>
    <row r="272" customFormat="false" ht="17.35" hidden="false" customHeight="false" outlineLevel="0" collapsed="false">
      <c r="A272" s="5" t="s">
        <v>1224</v>
      </c>
      <c r="B272" s="6" t="n">
        <v>15</v>
      </c>
      <c r="C272" s="5" t="s">
        <v>1264</v>
      </c>
      <c r="D272" s="7" t="s">
        <v>1265</v>
      </c>
      <c r="E272" s="5" t="s">
        <v>1264</v>
      </c>
      <c r="F272" s="8" t="s">
        <v>1266</v>
      </c>
      <c r="G272" s="8"/>
      <c r="H272" s="9" t="s">
        <v>1267</v>
      </c>
      <c r="I272" s="5" t="s">
        <v>39</v>
      </c>
      <c r="J272" s="10" t="n">
        <v>73</v>
      </c>
      <c r="K272" s="6" t="n">
        <v>2</v>
      </c>
      <c r="L272" s="6" t="n">
        <v>125</v>
      </c>
      <c r="M272" s="11"/>
      <c r="N272" s="11"/>
      <c r="O272" s="11"/>
    </row>
    <row r="273" customFormat="false" ht="17.35" hidden="false" customHeight="false" outlineLevel="0" collapsed="false">
      <c r="A273" s="5" t="s">
        <v>1224</v>
      </c>
      <c r="B273" s="6" t="n">
        <v>15</v>
      </c>
      <c r="C273" s="5" t="s">
        <v>1268</v>
      </c>
      <c r="D273" s="7" t="s">
        <v>1269</v>
      </c>
      <c r="E273" s="5" t="s">
        <v>1268</v>
      </c>
      <c r="F273" s="8" t="s">
        <v>1270</v>
      </c>
      <c r="G273" s="8"/>
      <c r="H273" s="9" t="s">
        <v>1271</v>
      </c>
      <c r="I273" s="5" t="s">
        <v>39</v>
      </c>
      <c r="J273" s="10" t="n">
        <v>123</v>
      </c>
      <c r="K273" s="6" t="n">
        <v>2</v>
      </c>
      <c r="L273" s="6" t="n">
        <v>3</v>
      </c>
      <c r="M273" s="11"/>
      <c r="N273" s="11"/>
      <c r="O273" s="11"/>
    </row>
    <row r="274" customFormat="false" ht="17.35" hidden="false" customHeight="false" outlineLevel="0" collapsed="false">
      <c r="A274" s="5" t="s">
        <v>1224</v>
      </c>
      <c r="B274" s="6" t="n">
        <v>15</v>
      </c>
      <c r="C274" s="5" t="s">
        <v>1272</v>
      </c>
      <c r="D274" s="7" t="s">
        <v>1273</v>
      </c>
      <c r="E274" s="5" t="s">
        <v>1274</v>
      </c>
      <c r="F274" s="8" t="s">
        <v>1275</v>
      </c>
      <c r="G274" s="8"/>
      <c r="H274" s="9" t="s">
        <v>1276</v>
      </c>
      <c r="I274" s="5" t="s">
        <v>39</v>
      </c>
      <c r="J274" s="10" t="n">
        <v>48</v>
      </c>
      <c r="K274" s="6" t="n">
        <v>2</v>
      </c>
      <c r="L274" s="6" t="n">
        <v>61</v>
      </c>
      <c r="M274" s="11"/>
      <c r="N274" s="11"/>
      <c r="O274" s="11"/>
    </row>
    <row r="275" customFormat="false" ht="17.35" hidden="false" customHeight="false" outlineLevel="0" collapsed="false">
      <c r="A275" s="5" t="s">
        <v>1224</v>
      </c>
      <c r="B275" s="6" t="n">
        <v>15</v>
      </c>
      <c r="C275" s="5" t="s">
        <v>1277</v>
      </c>
      <c r="D275" s="7" t="s">
        <v>1278</v>
      </c>
      <c r="E275" s="5" t="s">
        <v>1277</v>
      </c>
      <c r="F275" s="8" t="s">
        <v>1279</v>
      </c>
      <c r="G275" s="8"/>
      <c r="H275" s="9" t="s">
        <v>1280</v>
      </c>
      <c r="I275" s="5" t="s">
        <v>96</v>
      </c>
      <c r="J275" s="10" t="n">
        <v>109</v>
      </c>
      <c r="K275" s="6" t="n">
        <v>2</v>
      </c>
      <c r="L275" s="6" t="n">
        <v>35</v>
      </c>
      <c r="M275" s="11"/>
      <c r="N275" s="11"/>
      <c r="O275" s="11"/>
    </row>
    <row r="276" customFormat="false" ht="17.35" hidden="false" customHeight="false" outlineLevel="0" collapsed="false">
      <c r="A276" s="5" t="s">
        <v>1224</v>
      </c>
      <c r="B276" s="6" t="n">
        <v>15</v>
      </c>
      <c r="C276" s="5" t="s">
        <v>1281</v>
      </c>
      <c r="D276" s="7" t="s">
        <v>1282</v>
      </c>
      <c r="E276" s="5" t="s">
        <v>1281</v>
      </c>
      <c r="F276" s="8" t="s">
        <v>1283</v>
      </c>
      <c r="G276" s="8"/>
      <c r="H276" s="9" t="s">
        <v>1284</v>
      </c>
      <c r="I276" s="5" t="s">
        <v>96</v>
      </c>
      <c r="J276" s="10" t="n">
        <v>39</v>
      </c>
      <c r="K276" s="6" t="n">
        <v>2</v>
      </c>
      <c r="L276" s="6" t="n">
        <v>60</v>
      </c>
      <c r="M276" s="11"/>
      <c r="N276" s="11"/>
      <c r="O276" s="11"/>
    </row>
    <row r="277" customFormat="false" ht="17.35" hidden="false" customHeight="false" outlineLevel="0" collapsed="false">
      <c r="A277" s="5" t="s">
        <v>1224</v>
      </c>
      <c r="B277" s="6" t="n">
        <v>15</v>
      </c>
      <c r="C277" s="5" t="s">
        <v>1285</v>
      </c>
      <c r="D277" s="7" t="s">
        <v>1286</v>
      </c>
      <c r="E277" s="5" t="s">
        <v>1287</v>
      </c>
      <c r="F277" s="8" t="s">
        <v>1288</v>
      </c>
      <c r="G277" s="8"/>
      <c r="H277" s="9" t="s">
        <v>1289</v>
      </c>
      <c r="I277" s="5" t="s">
        <v>39</v>
      </c>
      <c r="J277" s="10" t="n">
        <v>23</v>
      </c>
      <c r="K277" s="6" t="n">
        <v>2</v>
      </c>
      <c r="L277" s="6" t="n">
        <v>187</v>
      </c>
      <c r="M277" s="11"/>
      <c r="N277" s="11"/>
      <c r="O277" s="11"/>
    </row>
    <row r="278" customFormat="false" ht="17.35" hidden="false" customHeight="false" outlineLevel="0" collapsed="false">
      <c r="A278" s="5" t="s">
        <v>1224</v>
      </c>
      <c r="B278" s="6" t="n">
        <v>15</v>
      </c>
      <c r="C278" s="5" t="s">
        <v>1290</v>
      </c>
      <c r="D278" s="7" t="s">
        <v>1291</v>
      </c>
      <c r="E278" s="5" t="s">
        <v>1292</v>
      </c>
      <c r="F278" s="8" t="s">
        <v>1293</v>
      </c>
      <c r="G278" s="8"/>
      <c r="H278" s="9" t="s">
        <v>1294</v>
      </c>
      <c r="I278" s="5" t="s">
        <v>39</v>
      </c>
      <c r="J278" s="10" t="n">
        <v>23</v>
      </c>
      <c r="K278" s="6" t="n">
        <v>2</v>
      </c>
      <c r="L278" s="6" t="n">
        <v>83</v>
      </c>
      <c r="M278" s="11"/>
      <c r="N278" s="11"/>
      <c r="O278" s="11"/>
    </row>
    <row r="279" customFormat="false" ht="17.35" hidden="false" customHeight="false" outlineLevel="0" collapsed="false">
      <c r="A279" s="5" t="s">
        <v>1224</v>
      </c>
      <c r="B279" s="6" t="n">
        <v>15</v>
      </c>
      <c r="C279" s="5" t="s">
        <v>1295</v>
      </c>
      <c r="D279" s="7" t="s">
        <v>1296</v>
      </c>
      <c r="E279" s="5" t="s">
        <v>1297</v>
      </c>
      <c r="F279" s="8" t="s">
        <v>1298</v>
      </c>
      <c r="G279" s="8"/>
      <c r="H279" s="9" t="s">
        <v>1299</v>
      </c>
      <c r="I279" s="5" t="s">
        <v>39</v>
      </c>
      <c r="J279" s="10" t="n">
        <v>69</v>
      </c>
      <c r="K279" s="6" t="n">
        <v>2</v>
      </c>
      <c r="L279" s="6" t="n">
        <v>83</v>
      </c>
      <c r="M279" s="11"/>
      <c r="N279" s="11"/>
      <c r="O279" s="11"/>
    </row>
    <row r="280" customFormat="false" ht="17.35" hidden="false" customHeight="false" outlineLevel="0" collapsed="false">
      <c r="A280" s="12" t="s">
        <v>1300</v>
      </c>
      <c r="B280" s="13" t="n">
        <v>16</v>
      </c>
      <c r="C280" s="5" t="s">
        <v>1301</v>
      </c>
      <c r="D280" s="7" t="s">
        <v>1302</v>
      </c>
      <c r="E280" s="5" t="s">
        <v>1301</v>
      </c>
      <c r="F280" s="8" t="s">
        <v>1303</v>
      </c>
      <c r="G280" s="8"/>
      <c r="H280" s="9" t="s">
        <v>1304</v>
      </c>
      <c r="I280" s="5" t="s">
        <v>39</v>
      </c>
      <c r="J280" s="10" t="n">
        <v>20</v>
      </c>
      <c r="K280" s="6" t="n">
        <v>29</v>
      </c>
      <c r="L280" s="6" t="n">
        <v>14</v>
      </c>
      <c r="M280" s="11"/>
      <c r="N280" s="11"/>
      <c r="O280" s="11"/>
    </row>
    <row r="281" customFormat="false" ht="17.35" hidden="false" customHeight="false" outlineLevel="0" collapsed="false">
      <c r="A281" s="12" t="s">
        <v>1300</v>
      </c>
      <c r="B281" s="13" t="n">
        <v>16</v>
      </c>
      <c r="C281" s="5" t="s">
        <v>1305</v>
      </c>
      <c r="D281" s="7" t="s">
        <v>1306</v>
      </c>
      <c r="E281" s="5" t="s">
        <v>1305</v>
      </c>
      <c r="F281" s="8" t="s">
        <v>1307</v>
      </c>
      <c r="G281" s="8"/>
      <c r="H281" s="9" t="s">
        <v>1308</v>
      </c>
      <c r="I281" s="5" t="s">
        <v>39</v>
      </c>
      <c r="J281" s="10" t="n">
        <v>21</v>
      </c>
      <c r="K281" s="6" t="n">
        <v>2</v>
      </c>
      <c r="L281" s="6" t="n">
        <v>185</v>
      </c>
      <c r="M281" s="11"/>
      <c r="N281" s="11"/>
      <c r="O281" s="11"/>
    </row>
    <row r="282" customFormat="false" ht="17.35" hidden="false" customHeight="false" outlineLevel="0" collapsed="false">
      <c r="A282" s="12" t="s">
        <v>1300</v>
      </c>
      <c r="B282" s="13" t="n">
        <v>16</v>
      </c>
      <c r="C282" s="5" t="s">
        <v>1309</v>
      </c>
      <c r="D282" s="7" t="s">
        <v>1310</v>
      </c>
      <c r="E282" s="5" t="s">
        <v>1311</v>
      </c>
      <c r="F282" s="8" t="s">
        <v>1312</v>
      </c>
      <c r="G282" s="8"/>
      <c r="H282" s="9" t="s">
        <v>1313</v>
      </c>
      <c r="I282" s="5" t="s">
        <v>39</v>
      </c>
      <c r="J282" s="10" t="n">
        <v>35</v>
      </c>
      <c r="K282" s="6" t="n">
        <v>76</v>
      </c>
      <c r="L282" s="6" t="n">
        <v>1</v>
      </c>
      <c r="M282" s="11"/>
      <c r="N282" s="11"/>
      <c r="O282" s="11"/>
    </row>
    <row r="283" customFormat="false" ht="17.35" hidden="false" customHeight="false" outlineLevel="0" collapsed="false">
      <c r="A283" s="12" t="s">
        <v>1300</v>
      </c>
      <c r="B283" s="13" t="n">
        <v>16</v>
      </c>
      <c r="C283" s="5" t="s">
        <v>1314</v>
      </c>
      <c r="D283" s="7" t="s">
        <v>1315</v>
      </c>
      <c r="E283" s="5" t="s">
        <v>1314</v>
      </c>
      <c r="F283" s="8" t="s">
        <v>1316</v>
      </c>
      <c r="G283" s="8"/>
      <c r="H283" s="9" t="s">
        <v>1317</v>
      </c>
      <c r="I283" s="5" t="s">
        <v>58</v>
      </c>
      <c r="J283" s="10" t="n">
        <v>125</v>
      </c>
      <c r="K283" s="6" t="n">
        <v>2</v>
      </c>
      <c r="L283" s="6" t="n">
        <v>41</v>
      </c>
      <c r="M283" s="11"/>
      <c r="N283" s="11"/>
      <c r="O283" s="11"/>
    </row>
    <row r="284" customFormat="false" ht="17.35" hidden="false" customHeight="false" outlineLevel="0" collapsed="false">
      <c r="A284" s="12" t="s">
        <v>1300</v>
      </c>
      <c r="B284" s="13" t="n">
        <v>16</v>
      </c>
      <c r="C284" s="5" t="s">
        <v>1318</v>
      </c>
      <c r="D284" s="7" t="s">
        <v>1319</v>
      </c>
      <c r="E284" s="5" t="s">
        <v>1320</v>
      </c>
      <c r="F284" s="8" t="s">
        <v>1321</v>
      </c>
      <c r="G284" s="8"/>
      <c r="H284" s="9" t="s">
        <v>642</v>
      </c>
      <c r="I284" s="5" t="s">
        <v>58</v>
      </c>
      <c r="J284" s="10" t="n">
        <v>250</v>
      </c>
      <c r="K284" s="6" t="n">
        <v>2</v>
      </c>
      <c r="L284" s="6" t="n">
        <v>8</v>
      </c>
      <c r="M284" s="11"/>
      <c r="N284" s="11"/>
      <c r="O284" s="11"/>
    </row>
    <row r="285" customFormat="false" ht="17.35" hidden="false" customHeight="false" outlineLevel="0" collapsed="false">
      <c r="A285" s="12" t="s">
        <v>1300</v>
      </c>
      <c r="B285" s="13" t="n">
        <v>16</v>
      </c>
      <c r="C285" s="5" t="s">
        <v>1322</v>
      </c>
      <c r="D285" s="7" t="s">
        <v>1323</v>
      </c>
      <c r="E285" s="5" t="s">
        <v>1324</v>
      </c>
      <c r="F285" s="8" t="s">
        <v>1325</v>
      </c>
      <c r="G285" s="8"/>
      <c r="H285" s="9" t="s">
        <v>1326</v>
      </c>
      <c r="I285" s="5" t="s">
        <v>58</v>
      </c>
      <c r="J285" s="10" t="n">
        <v>10</v>
      </c>
      <c r="K285" s="6" t="n">
        <v>13</v>
      </c>
      <c r="L285" s="6" t="n">
        <v>5</v>
      </c>
      <c r="M285" s="11"/>
      <c r="N285" s="11"/>
      <c r="O285" s="11"/>
    </row>
    <row r="286" customFormat="false" ht="26.85" hidden="false" customHeight="false" outlineLevel="0" collapsed="false">
      <c r="A286" s="12" t="s">
        <v>1300</v>
      </c>
      <c r="B286" s="13" t="n">
        <v>16</v>
      </c>
      <c r="C286" s="5" t="s">
        <v>1327</v>
      </c>
      <c r="D286" s="7" t="s">
        <v>1328</v>
      </c>
      <c r="E286" s="5" t="s">
        <v>1329</v>
      </c>
      <c r="F286" s="8" t="s">
        <v>1330</v>
      </c>
      <c r="G286" s="8" t="s">
        <v>1331</v>
      </c>
      <c r="H286" s="9" t="s">
        <v>1332</v>
      </c>
      <c r="I286" s="5" t="s">
        <v>39</v>
      </c>
      <c r="J286" s="10" t="n">
        <v>55</v>
      </c>
      <c r="K286" s="6" t="n">
        <v>13</v>
      </c>
      <c r="L286" s="6" t="n">
        <v>24</v>
      </c>
      <c r="M286" s="11"/>
      <c r="N286" s="11"/>
      <c r="O286" s="11"/>
    </row>
    <row r="287" customFormat="false" ht="17.35" hidden="false" customHeight="false" outlineLevel="0" collapsed="false">
      <c r="A287" s="12" t="s">
        <v>1300</v>
      </c>
      <c r="B287" s="13" t="n">
        <v>16</v>
      </c>
      <c r="C287" s="5" t="s">
        <v>1333</v>
      </c>
      <c r="D287" s="7" t="s">
        <v>1334</v>
      </c>
      <c r="E287" s="5" t="s">
        <v>1335</v>
      </c>
      <c r="F287" s="8" t="s">
        <v>1336</v>
      </c>
      <c r="G287" s="8"/>
      <c r="H287" s="9" t="s">
        <v>306</v>
      </c>
      <c r="I287" s="5" t="s">
        <v>39</v>
      </c>
      <c r="J287" s="10" t="n">
        <v>1390</v>
      </c>
      <c r="K287" s="6" t="n">
        <v>19</v>
      </c>
      <c r="L287" s="6" t="n">
        <v>16</v>
      </c>
      <c r="M287" s="11"/>
      <c r="N287" s="11"/>
      <c r="O287" s="11"/>
    </row>
    <row r="288" customFormat="false" ht="26.85" hidden="false" customHeight="false" outlineLevel="0" collapsed="false">
      <c r="A288" s="12" t="s">
        <v>1300</v>
      </c>
      <c r="B288" s="13" t="n">
        <v>16</v>
      </c>
      <c r="C288" s="5" t="s">
        <v>1337</v>
      </c>
      <c r="D288" s="7" t="s">
        <v>1338</v>
      </c>
      <c r="E288" s="5" t="s">
        <v>1339</v>
      </c>
      <c r="F288" s="8" t="s">
        <v>110</v>
      </c>
      <c r="G288" s="8" t="s">
        <v>1340</v>
      </c>
      <c r="H288" s="9" t="s">
        <v>1341</v>
      </c>
      <c r="I288" s="5" t="s">
        <v>39</v>
      </c>
      <c r="J288" s="10" t="n">
        <v>176</v>
      </c>
      <c r="K288" s="6" t="n">
        <v>2</v>
      </c>
      <c r="L288" s="6" t="n">
        <v>154</v>
      </c>
      <c r="M288" s="11"/>
      <c r="N288" s="11"/>
      <c r="O288" s="11"/>
    </row>
    <row r="289" customFormat="false" ht="17.35" hidden="false" customHeight="false" outlineLevel="0" collapsed="false">
      <c r="A289" s="12" t="s">
        <v>1300</v>
      </c>
      <c r="B289" s="13" t="n">
        <v>16</v>
      </c>
      <c r="C289" s="5" t="s">
        <v>1342</v>
      </c>
      <c r="D289" s="7" t="s">
        <v>1343</v>
      </c>
      <c r="E289" s="5" t="s">
        <v>1344</v>
      </c>
      <c r="F289" s="8" t="s">
        <v>1345</v>
      </c>
      <c r="G289" s="8"/>
      <c r="H289" s="9" t="s">
        <v>1346</v>
      </c>
      <c r="I289" s="5" t="s">
        <v>39</v>
      </c>
      <c r="J289" s="10" t="n">
        <v>11</v>
      </c>
      <c r="K289" s="6" t="n">
        <v>4</v>
      </c>
      <c r="L289" s="6" t="n">
        <v>168</v>
      </c>
      <c r="M289" s="11"/>
      <c r="N289" s="11"/>
      <c r="O289" s="11"/>
    </row>
    <row r="290" customFormat="false" ht="17.35" hidden="false" customHeight="false" outlineLevel="0" collapsed="false">
      <c r="A290" s="12" t="s">
        <v>1300</v>
      </c>
      <c r="B290" s="13" t="n">
        <v>16</v>
      </c>
      <c r="C290" s="5" t="s">
        <v>1347</v>
      </c>
      <c r="D290" s="7" t="s">
        <v>1348</v>
      </c>
      <c r="E290" s="5" t="s">
        <v>1349</v>
      </c>
      <c r="F290" s="8" t="s">
        <v>1350</v>
      </c>
      <c r="G290" s="8"/>
      <c r="H290" s="9" t="s">
        <v>1351</v>
      </c>
      <c r="I290" s="5" t="s">
        <v>39</v>
      </c>
      <c r="J290" s="10" t="n">
        <v>27</v>
      </c>
      <c r="K290" s="6" t="n">
        <v>2</v>
      </c>
      <c r="L290" s="6" t="n">
        <v>58</v>
      </c>
      <c r="M290" s="11"/>
      <c r="N290" s="11"/>
      <c r="O290" s="11"/>
    </row>
    <row r="291" customFormat="false" ht="17.35" hidden="false" customHeight="false" outlineLevel="0" collapsed="false">
      <c r="A291" s="12" t="s">
        <v>1300</v>
      </c>
      <c r="B291" s="13" t="n">
        <v>16</v>
      </c>
      <c r="C291" s="5" t="s">
        <v>1352</v>
      </c>
      <c r="D291" s="7" t="s">
        <v>1353</v>
      </c>
      <c r="E291" s="5" t="s">
        <v>1352</v>
      </c>
      <c r="F291" s="8" t="s">
        <v>1354</v>
      </c>
      <c r="G291" s="8"/>
      <c r="H291" s="9" t="s">
        <v>1355</v>
      </c>
      <c r="I291" s="5" t="s">
        <v>39</v>
      </c>
      <c r="J291" s="10" t="n">
        <v>17</v>
      </c>
      <c r="K291" s="6" t="n">
        <v>2</v>
      </c>
      <c r="L291" s="6" t="n">
        <v>115</v>
      </c>
      <c r="M291" s="11"/>
      <c r="N291" s="11"/>
      <c r="O291" s="11"/>
    </row>
    <row r="292" customFormat="false" ht="17.35" hidden="false" customHeight="false" outlineLevel="0" collapsed="false">
      <c r="A292" s="12" t="s">
        <v>1300</v>
      </c>
      <c r="B292" s="13" t="n">
        <v>16</v>
      </c>
      <c r="C292" s="5" t="s">
        <v>1356</v>
      </c>
      <c r="D292" s="7" t="s">
        <v>1357</v>
      </c>
      <c r="E292" s="5" t="s">
        <v>1356</v>
      </c>
      <c r="F292" s="8" t="s">
        <v>1358</v>
      </c>
      <c r="G292" s="8"/>
      <c r="H292" s="9" t="s">
        <v>1359</v>
      </c>
      <c r="I292" s="5" t="s">
        <v>39</v>
      </c>
      <c r="J292" s="10" t="n">
        <v>19</v>
      </c>
      <c r="K292" s="6" t="n">
        <v>2</v>
      </c>
      <c r="L292" s="6" t="n">
        <v>115</v>
      </c>
      <c r="M292" s="11"/>
      <c r="N292" s="11"/>
      <c r="O292" s="11"/>
    </row>
    <row r="293" customFormat="false" ht="26.85" hidden="false" customHeight="false" outlineLevel="0" collapsed="false">
      <c r="A293" s="12" t="s">
        <v>1300</v>
      </c>
      <c r="B293" s="13" t="n">
        <v>16</v>
      </c>
      <c r="C293" s="5" t="s">
        <v>1360</v>
      </c>
      <c r="D293" s="7" t="s">
        <v>1361</v>
      </c>
      <c r="E293" s="5" t="s">
        <v>1362</v>
      </c>
      <c r="F293" s="8" t="s">
        <v>1363</v>
      </c>
      <c r="G293" s="8" t="s">
        <v>1364</v>
      </c>
      <c r="H293" s="9" t="s">
        <v>1365</v>
      </c>
      <c r="I293" s="5" t="s">
        <v>39</v>
      </c>
      <c r="J293" s="10" t="n">
        <v>71</v>
      </c>
      <c r="K293" s="6" t="n">
        <v>56</v>
      </c>
      <c r="L293" s="6" t="n">
        <v>27</v>
      </c>
      <c r="M293" s="11"/>
      <c r="N293" s="11"/>
      <c r="O293" s="11"/>
    </row>
    <row r="294" customFormat="false" ht="17.35" hidden="false" customHeight="false" outlineLevel="0" collapsed="false">
      <c r="A294" s="12" t="s">
        <v>1300</v>
      </c>
      <c r="B294" s="13" t="n">
        <v>16</v>
      </c>
      <c r="C294" s="5" t="s">
        <v>1366</v>
      </c>
      <c r="D294" s="7" t="s">
        <v>1367</v>
      </c>
      <c r="E294" s="5" t="s">
        <v>1368</v>
      </c>
      <c r="F294" s="8" t="s">
        <v>1369</v>
      </c>
      <c r="G294" s="8"/>
      <c r="H294" s="9" t="s">
        <v>1370</v>
      </c>
      <c r="I294" s="5" t="s">
        <v>39</v>
      </c>
      <c r="J294" s="10" t="n">
        <v>12</v>
      </c>
      <c r="K294" s="6" t="n">
        <v>56</v>
      </c>
      <c r="L294" s="6" t="n">
        <v>41</v>
      </c>
      <c r="M294" s="11"/>
      <c r="N294" s="11"/>
      <c r="O294" s="11"/>
    </row>
    <row r="295" customFormat="false" ht="17.35" hidden="false" customHeight="false" outlineLevel="0" collapsed="false">
      <c r="A295" s="12" t="s">
        <v>1300</v>
      </c>
      <c r="B295" s="13" t="n">
        <v>16</v>
      </c>
      <c r="C295" s="5" t="s">
        <v>1371</v>
      </c>
      <c r="D295" s="7" t="s">
        <v>1372</v>
      </c>
      <c r="E295" s="5" t="s">
        <v>1373</v>
      </c>
      <c r="F295" s="8" t="s">
        <v>1374</v>
      </c>
      <c r="G295" s="8"/>
      <c r="H295" s="9" t="s">
        <v>1375</v>
      </c>
      <c r="I295" s="5" t="s">
        <v>216</v>
      </c>
      <c r="J295" s="10" t="n">
        <v>32</v>
      </c>
      <c r="K295" s="6" t="n">
        <v>2</v>
      </c>
      <c r="L295" s="6" t="n">
        <v>101</v>
      </c>
      <c r="M295" s="11"/>
      <c r="N295" s="11"/>
      <c r="O295" s="11"/>
    </row>
    <row r="296" customFormat="false" ht="17.35" hidden="false" customHeight="false" outlineLevel="0" collapsed="false">
      <c r="A296" s="12" t="s">
        <v>1300</v>
      </c>
      <c r="B296" s="13" t="n">
        <v>16</v>
      </c>
      <c r="C296" s="5" t="s">
        <v>1376</v>
      </c>
      <c r="D296" s="7" t="s">
        <v>1377</v>
      </c>
      <c r="E296" s="5" t="s">
        <v>1376</v>
      </c>
      <c r="F296" s="8" t="s">
        <v>1378</v>
      </c>
      <c r="G296" s="8"/>
      <c r="H296" s="9" t="s">
        <v>1379</v>
      </c>
      <c r="I296" s="5" t="s">
        <v>39</v>
      </c>
      <c r="J296" s="10" t="n">
        <v>127</v>
      </c>
      <c r="K296" s="6" t="n">
        <v>2</v>
      </c>
      <c r="L296" s="6" t="n">
        <v>255</v>
      </c>
      <c r="M296" s="11"/>
      <c r="N296" s="11"/>
      <c r="O296" s="11"/>
    </row>
    <row r="297" customFormat="false" ht="17.35" hidden="false" customHeight="false" outlineLevel="0" collapsed="false">
      <c r="A297" s="12" t="s">
        <v>1300</v>
      </c>
      <c r="B297" s="13" t="n">
        <v>16</v>
      </c>
      <c r="C297" s="5" t="s">
        <v>1380</v>
      </c>
      <c r="D297" s="7" t="s">
        <v>1381</v>
      </c>
      <c r="E297" s="5" t="s">
        <v>1382</v>
      </c>
      <c r="F297" s="8" t="s">
        <v>1383</v>
      </c>
      <c r="G297" s="8"/>
      <c r="H297" s="9" t="s">
        <v>1384</v>
      </c>
      <c r="I297" s="5" t="s">
        <v>58</v>
      </c>
      <c r="J297" s="10" t="n">
        <v>96</v>
      </c>
      <c r="K297" s="6" t="n">
        <v>2</v>
      </c>
      <c r="L297" s="6" t="n">
        <v>186</v>
      </c>
      <c r="M297" s="11"/>
      <c r="N297" s="11"/>
      <c r="O297" s="11"/>
    </row>
    <row r="298" customFormat="false" ht="17.35" hidden="false" customHeight="false" outlineLevel="0" collapsed="false">
      <c r="A298" s="12" t="s">
        <v>1300</v>
      </c>
      <c r="B298" s="13" t="n">
        <v>16</v>
      </c>
      <c r="C298" s="5" t="s">
        <v>1385</v>
      </c>
      <c r="D298" s="7" t="s">
        <v>1386</v>
      </c>
      <c r="E298" s="5" t="s">
        <v>1387</v>
      </c>
      <c r="F298" s="8" t="s">
        <v>1388</v>
      </c>
      <c r="G298" s="8"/>
      <c r="H298" s="9" t="s">
        <v>249</v>
      </c>
      <c r="I298" s="5" t="s">
        <v>58</v>
      </c>
      <c r="J298" s="10" t="n">
        <v>235</v>
      </c>
      <c r="K298" s="6" t="n">
        <v>41</v>
      </c>
      <c r="L298" s="6" t="n">
        <v>44</v>
      </c>
      <c r="M298" s="11"/>
      <c r="N298" s="11"/>
      <c r="O298" s="11"/>
    </row>
    <row r="299" customFormat="false" ht="26.85" hidden="false" customHeight="false" outlineLevel="0" collapsed="false">
      <c r="A299" s="5" t="s">
        <v>1389</v>
      </c>
      <c r="B299" s="6" t="n">
        <v>17</v>
      </c>
      <c r="C299" s="5" t="s">
        <v>1390</v>
      </c>
      <c r="D299" s="7" t="s">
        <v>1391</v>
      </c>
      <c r="E299" s="5" t="s">
        <v>1392</v>
      </c>
      <c r="F299" s="8" t="s">
        <v>1393</v>
      </c>
      <c r="G299" s="8" t="s">
        <v>1394</v>
      </c>
      <c r="H299" s="9" t="s">
        <v>1395</v>
      </c>
      <c r="I299" s="5" t="s">
        <v>39</v>
      </c>
      <c r="J299" s="10" t="n">
        <v>85</v>
      </c>
      <c r="K299" s="6" t="n">
        <v>112</v>
      </c>
      <c r="L299" s="6" t="n">
        <v>1</v>
      </c>
      <c r="M299" s="11"/>
      <c r="N299" s="11"/>
      <c r="O299" s="11"/>
    </row>
    <row r="300" customFormat="false" ht="17.35" hidden="false" customHeight="false" outlineLevel="0" collapsed="false">
      <c r="A300" s="5" t="s">
        <v>1389</v>
      </c>
      <c r="B300" s="6" t="n">
        <v>17</v>
      </c>
      <c r="C300" s="5" t="s">
        <v>1396</v>
      </c>
      <c r="D300" s="7" t="s">
        <v>1397</v>
      </c>
      <c r="E300" s="5" t="s">
        <v>1398</v>
      </c>
      <c r="F300" s="8" t="s">
        <v>1399</v>
      </c>
      <c r="G300" s="8"/>
      <c r="H300" s="9" t="s">
        <v>1400</v>
      </c>
      <c r="I300" s="5" t="s">
        <v>39</v>
      </c>
      <c r="J300" s="10" t="n">
        <v>29</v>
      </c>
      <c r="K300" s="6" t="n">
        <v>5</v>
      </c>
      <c r="L300" s="6" t="n">
        <v>106</v>
      </c>
      <c r="M300" s="11"/>
      <c r="N300" s="11"/>
      <c r="O300" s="11"/>
    </row>
    <row r="301" customFormat="false" ht="17.35" hidden="false" customHeight="false" outlineLevel="0" collapsed="false">
      <c r="A301" s="5" t="s">
        <v>1389</v>
      </c>
      <c r="B301" s="6" t="n">
        <v>17</v>
      </c>
      <c r="C301" s="5" t="s">
        <v>1401</v>
      </c>
      <c r="D301" s="7" t="s">
        <v>1402</v>
      </c>
      <c r="E301" s="5" t="s">
        <v>1403</v>
      </c>
      <c r="F301" s="8" t="s">
        <v>1404</v>
      </c>
      <c r="G301" s="8"/>
      <c r="H301" s="9" t="s">
        <v>1405</v>
      </c>
      <c r="I301" s="5" t="s">
        <v>39</v>
      </c>
      <c r="J301" s="10" t="n">
        <v>32</v>
      </c>
      <c r="K301" s="6" t="n">
        <v>2</v>
      </c>
      <c r="L301" s="6" t="n">
        <v>196</v>
      </c>
      <c r="M301" s="11"/>
      <c r="N301" s="11"/>
      <c r="O301" s="11"/>
    </row>
    <row r="302" customFormat="false" ht="17.35" hidden="false" customHeight="false" outlineLevel="0" collapsed="false">
      <c r="A302" s="5" t="s">
        <v>1389</v>
      </c>
      <c r="B302" s="6" t="n">
        <v>17</v>
      </c>
      <c r="C302" s="5" t="s">
        <v>1406</v>
      </c>
      <c r="D302" s="7" t="s">
        <v>1407</v>
      </c>
      <c r="E302" s="5" t="s">
        <v>1408</v>
      </c>
      <c r="F302" s="8" t="s">
        <v>1409</v>
      </c>
      <c r="G302" s="8"/>
      <c r="H302" s="9" t="s">
        <v>1410</v>
      </c>
      <c r="I302" s="5" t="s">
        <v>39</v>
      </c>
      <c r="J302" s="10" t="n">
        <v>22</v>
      </c>
      <c r="K302" s="6" t="n">
        <v>4</v>
      </c>
      <c r="L302" s="6" t="n">
        <v>3</v>
      </c>
      <c r="M302" s="11"/>
      <c r="N302" s="11"/>
      <c r="O302" s="11"/>
    </row>
    <row r="303" customFormat="false" ht="17.35" hidden="false" customHeight="false" outlineLevel="0" collapsed="false">
      <c r="A303" s="5" t="s">
        <v>1389</v>
      </c>
      <c r="B303" s="6" t="n">
        <v>17</v>
      </c>
      <c r="C303" s="5" t="s">
        <v>1411</v>
      </c>
      <c r="D303" s="7" t="s">
        <v>1412</v>
      </c>
      <c r="E303" s="5" t="s">
        <v>1411</v>
      </c>
      <c r="F303" s="8" t="s">
        <v>1413</v>
      </c>
      <c r="G303" s="8"/>
      <c r="H303" s="9" t="s">
        <v>1414</v>
      </c>
      <c r="I303" s="5" t="s">
        <v>39</v>
      </c>
      <c r="J303" s="10" t="n">
        <v>8</v>
      </c>
      <c r="K303" s="6" t="n">
        <v>18</v>
      </c>
      <c r="L303" s="6" t="n">
        <v>22</v>
      </c>
      <c r="M303" s="11"/>
      <c r="N303" s="11"/>
      <c r="O303" s="11"/>
    </row>
    <row r="304" customFormat="false" ht="17.35" hidden="false" customHeight="false" outlineLevel="0" collapsed="false">
      <c r="A304" s="5" t="s">
        <v>1389</v>
      </c>
      <c r="B304" s="6" t="n">
        <v>17</v>
      </c>
      <c r="C304" s="5" t="s">
        <v>1415</v>
      </c>
      <c r="D304" s="7" t="s">
        <v>1416</v>
      </c>
      <c r="E304" s="5" t="s">
        <v>1417</v>
      </c>
      <c r="F304" s="8" t="s">
        <v>1418</v>
      </c>
      <c r="G304" s="8"/>
      <c r="H304" s="9" t="s">
        <v>1419</v>
      </c>
      <c r="I304" s="5" t="s">
        <v>39</v>
      </c>
      <c r="J304" s="10" t="n">
        <v>28</v>
      </c>
      <c r="K304" s="6" t="n">
        <v>2</v>
      </c>
      <c r="L304" s="6" t="n">
        <v>29</v>
      </c>
      <c r="M304" s="11"/>
      <c r="N304" s="11"/>
      <c r="O304" s="11"/>
    </row>
    <row r="305" customFormat="false" ht="17.35" hidden="false" customHeight="false" outlineLevel="0" collapsed="false">
      <c r="A305" s="5" t="s">
        <v>1389</v>
      </c>
      <c r="B305" s="6" t="n">
        <v>17</v>
      </c>
      <c r="C305" s="5" t="s">
        <v>1420</v>
      </c>
      <c r="D305" s="7" t="s">
        <v>1421</v>
      </c>
      <c r="E305" s="5" t="s">
        <v>1422</v>
      </c>
      <c r="F305" s="8" t="s">
        <v>1423</v>
      </c>
      <c r="G305" s="8"/>
      <c r="H305" s="9" t="s">
        <v>1424</v>
      </c>
      <c r="I305" s="5" t="s">
        <v>39</v>
      </c>
      <c r="J305" s="10" t="n">
        <v>27</v>
      </c>
      <c r="K305" s="6" t="n">
        <v>2</v>
      </c>
      <c r="L305" s="6" t="n">
        <v>196</v>
      </c>
      <c r="M305" s="11"/>
      <c r="N305" s="11"/>
      <c r="O305" s="11"/>
    </row>
    <row r="306" customFormat="false" ht="17.35" hidden="false" customHeight="false" outlineLevel="0" collapsed="false">
      <c r="A306" s="5" t="s">
        <v>1389</v>
      </c>
      <c r="B306" s="6" t="n">
        <v>17</v>
      </c>
      <c r="C306" s="5" t="s">
        <v>1425</v>
      </c>
      <c r="D306" s="7" t="s">
        <v>1426</v>
      </c>
      <c r="E306" s="5" t="s">
        <v>1427</v>
      </c>
      <c r="F306" s="8" t="s">
        <v>1428</v>
      </c>
      <c r="G306" s="8"/>
      <c r="H306" s="9" t="s">
        <v>1429</v>
      </c>
      <c r="I306" s="5" t="s">
        <v>39</v>
      </c>
      <c r="J306" s="10" t="n">
        <v>10</v>
      </c>
      <c r="K306" s="6" t="n">
        <v>2</v>
      </c>
      <c r="L306" s="6" t="n">
        <v>259</v>
      </c>
      <c r="M306" s="11"/>
      <c r="N306" s="11"/>
      <c r="O306" s="11"/>
    </row>
    <row r="307" customFormat="false" ht="17.35" hidden="false" customHeight="false" outlineLevel="0" collapsed="false">
      <c r="A307" s="5" t="s">
        <v>1389</v>
      </c>
      <c r="B307" s="6" t="n">
        <v>17</v>
      </c>
      <c r="C307" s="5" t="s">
        <v>1430</v>
      </c>
      <c r="D307" s="7" t="s">
        <v>1431</v>
      </c>
      <c r="E307" s="5" t="s">
        <v>1430</v>
      </c>
      <c r="F307" s="8" t="s">
        <v>1432</v>
      </c>
      <c r="G307" s="8"/>
      <c r="H307" s="9" t="s">
        <v>1433</v>
      </c>
      <c r="I307" s="5" t="s">
        <v>39</v>
      </c>
      <c r="J307" s="10" t="n">
        <v>22</v>
      </c>
      <c r="K307" s="6" t="n">
        <v>2</v>
      </c>
      <c r="L307" s="6" t="n">
        <v>96</v>
      </c>
      <c r="M307" s="11"/>
      <c r="N307" s="11"/>
      <c r="O307" s="11"/>
    </row>
    <row r="308" customFormat="false" ht="17.35" hidden="false" customHeight="false" outlineLevel="0" collapsed="false">
      <c r="A308" s="5" t="s">
        <v>1389</v>
      </c>
      <c r="B308" s="6" t="n">
        <v>17</v>
      </c>
      <c r="C308" s="5" t="s">
        <v>1434</v>
      </c>
      <c r="D308" s="7" t="s">
        <v>1435</v>
      </c>
      <c r="E308" s="5" t="s">
        <v>1436</v>
      </c>
      <c r="F308" s="8" t="s">
        <v>1437</v>
      </c>
      <c r="G308" s="8"/>
      <c r="H308" s="9" t="s">
        <v>1438</v>
      </c>
      <c r="I308" s="5" t="s">
        <v>58</v>
      </c>
      <c r="J308" s="10" t="n">
        <v>167</v>
      </c>
      <c r="K308" s="6" t="n">
        <v>2</v>
      </c>
      <c r="L308" s="6" t="n">
        <v>26</v>
      </c>
      <c r="M308" s="11"/>
      <c r="N308" s="11"/>
      <c r="O308" s="11"/>
    </row>
    <row r="309" customFormat="false" ht="17.35" hidden="false" customHeight="false" outlineLevel="0" collapsed="false">
      <c r="A309" s="5" t="s">
        <v>1389</v>
      </c>
      <c r="B309" s="6" t="n">
        <v>17</v>
      </c>
      <c r="C309" s="5" t="s">
        <v>1439</v>
      </c>
      <c r="D309" s="7" t="s">
        <v>1440</v>
      </c>
      <c r="E309" s="5" t="s">
        <v>1441</v>
      </c>
      <c r="F309" s="8" t="s">
        <v>1442</v>
      </c>
      <c r="G309" s="8"/>
      <c r="H309" s="9" t="s">
        <v>1443</v>
      </c>
      <c r="I309" s="5" t="s">
        <v>58</v>
      </c>
      <c r="J309" s="10" t="n">
        <v>76</v>
      </c>
      <c r="K309" s="6" t="n">
        <v>2</v>
      </c>
      <c r="L309" s="6" t="n">
        <v>88</v>
      </c>
      <c r="M309" s="11"/>
      <c r="N309" s="11"/>
      <c r="O309" s="11"/>
    </row>
    <row r="310" customFormat="false" ht="26.85" hidden="false" customHeight="false" outlineLevel="0" collapsed="false">
      <c r="A310" s="5" t="s">
        <v>1389</v>
      </c>
      <c r="B310" s="6" t="n">
        <v>17</v>
      </c>
      <c r="C310" s="5" t="s">
        <v>1444</v>
      </c>
      <c r="D310" s="7" t="s">
        <v>1445</v>
      </c>
      <c r="E310" s="5" t="s">
        <v>1444</v>
      </c>
      <c r="F310" s="8" t="s">
        <v>1446</v>
      </c>
      <c r="G310" s="8" t="s">
        <v>1447</v>
      </c>
      <c r="H310" s="9" t="s">
        <v>1438</v>
      </c>
      <c r="I310" s="5" t="s">
        <v>58</v>
      </c>
      <c r="J310" s="10" t="n">
        <v>167</v>
      </c>
      <c r="K310" s="6" t="n">
        <v>2</v>
      </c>
      <c r="L310" s="6" t="n">
        <v>100</v>
      </c>
      <c r="M310" s="11"/>
      <c r="N310" s="11"/>
      <c r="O310" s="11"/>
    </row>
    <row r="311" customFormat="false" ht="17.35" hidden="false" customHeight="false" outlineLevel="0" collapsed="false">
      <c r="A311" s="5" t="s">
        <v>1389</v>
      </c>
      <c r="B311" s="6" t="n">
        <v>17</v>
      </c>
      <c r="C311" s="5" t="s">
        <v>1448</v>
      </c>
      <c r="D311" s="7" t="s">
        <v>1449</v>
      </c>
      <c r="E311" s="5" t="s">
        <v>1450</v>
      </c>
      <c r="F311" s="8" t="s">
        <v>1451</v>
      </c>
      <c r="G311" s="8"/>
      <c r="H311" s="9" t="s">
        <v>1452</v>
      </c>
      <c r="I311" s="5" t="s">
        <v>39</v>
      </c>
      <c r="J311" s="10" t="n">
        <v>129</v>
      </c>
      <c r="K311" s="6" t="n">
        <v>2</v>
      </c>
      <c r="L311" s="6" t="n">
        <v>29</v>
      </c>
      <c r="M311" s="11"/>
      <c r="N311" s="11"/>
      <c r="O311" s="11"/>
    </row>
    <row r="312" customFormat="false" ht="17.35" hidden="false" customHeight="false" outlineLevel="0" collapsed="false">
      <c r="A312" s="5" t="s">
        <v>1389</v>
      </c>
      <c r="B312" s="6" t="n">
        <v>17</v>
      </c>
      <c r="C312" s="5" t="s">
        <v>1453</v>
      </c>
      <c r="D312" s="7" t="s">
        <v>1454</v>
      </c>
      <c r="E312" s="5" t="s">
        <v>1455</v>
      </c>
      <c r="F312" s="8" t="s">
        <v>1456</v>
      </c>
      <c r="G312" s="8"/>
      <c r="H312" s="9" t="s">
        <v>1457</v>
      </c>
      <c r="I312" s="5" t="s">
        <v>96</v>
      </c>
      <c r="J312" s="10" t="n">
        <v>61</v>
      </c>
      <c r="K312" s="6" t="n">
        <v>2</v>
      </c>
      <c r="L312" s="6" t="n">
        <v>10</v>
      </c>
      <c r="M312" s="11"/>
      <c r="N312" s="11"/>
      <c r="O312" s="11"/>
    </row>
    <row r="313" customFormat="false" ht="26.85" hidden="false" customHeight="false" outlineLevel="0" collapsed="false">
      <c r="A313" s="5" t="s">
        <v>1389</v>
      </c>
      <c r="B313" s="6" t="n">
        <v>17</v>
      </c>
      <c r="C313" s="5" t="s">
        <v>1458</v>
      </c>
      <c r="D313" s="7" t="s">
        <v>1459</v>
      </c>
      <c r="E313" s="5" t="s">
        <v>1460</v>
      </c>
      <c r="F313" s="8" t="s">
        <v>1461</v>
      </c>
      <c r="G313" s="8" t="s">
        <v>1462</v>
      </c>
      <c r="H313" s="9" t="s">
        <v>1463</v>
      </c>
      <c r="I313" s="5" t="s">
        <v>39</v>
      </c>
      <c r="J313" s="10" t="n">
        <v>23</v>
      </c>
      <c r="K313" s="6" t="n">
        <v>55</v>
      </c>
      <c r="L313" s="6" t="n">
        <v>7</v>
      </c>
      <c r="M313" s="11"/>
      <c r="N313" s="11"/>
      <c r="O313" s="11"/>
    </row>
    <row r="314" customFormat="false" ht="17.35" hidden="false" customHeight="false" outlineLevel="0" collapsed="false">
      <c r="A314" s="5" t="s">
        <v>1389</v>
      </c>
      <c r="B314" s="6" t="n">
        <v>17</v>
      </c>
      <c r="C314" s="5" t="s">
        <v>1464</v>
      </c>
      <c r="D314" s="7" t="s">
        <v>1465</v>
      </c>
      <c r="E314" s="5" t="s">
        <v>1466</v>
      </c>
      <c r="F314" s="8" t="s">
        <v>1467</v>
      </c>
      <c r="G314" s="8"/>
      <c r="H314" s="9" t="s">
        <v>1468</v>
      </c>
      <c r="I314" s="5" t="s">
        <v>39</v>
      </c>
      <c r="J314" s="10" t="n">
        <v>57</v>
      </c>
      <c r="K314" s="6" t="n">
        <v>18</v>
      </c>
      <c r="L314" s="6" t="n">
        <v>11</v>
      </c>
      <c r="M314" s="11"/>
      <c r="N314" s="11"/>
      <c r="O314" s="11"/>
    </row>
    <row r="315" customFormat="false" ht="17.35" hidden="false" customHeight="false" outlineLevel="0" collapsed="false">
      <c r="A315" s="12" t="s">
        <v>1469</v>
      </c>
      <c r="B315" s="13" t="n">
        <v>18</v>
      </c>
      <c r="C315" s="5" t="s">
        <v>1470</v>
      </c>
      <c r="D315" s="7" t="s">
        <v>1471</v>
      </c>
      <c r="E315" s="5" t="s">
        <v>1472</v>
      </c>
      <c r="F315" s="8" t="s">
        <v>1473</v>
      </c>
      <c r="G315" s="8"/>
      <c r="H315" s="9" t="s">
        <v>137</v>
      </c>
      <c r="I315" s="5" t="s">
        <v>96</v>
      </c>
      <c r="J315" s="10" t="n">
        <v>210</v>
      </c>
      <c r="K315" s="6" t="n">
        <v>5</v>
      </c>
      <c r="L315" s="6" t="n">
        <v>42</v>
      </c>
      <c r="M315" s="11"/>
      <c r="N315" s="11"/>
      <c r="O315" s="11"/>
    </row>
    <row r="316" customFormat="false" ht="17.35" hidden="false" customHeight="false" outlineLevel="0" collapsed="false">
      <c r="A316" s="12" t="s">
        <v>1469</v>
      </c>
      <c r="B316" s="13" t="n">
        <v>18</v>
      </c>
      <c r="C316" s="5" t="s">
        <v>1474</v>
      </c>
      <c r="D316" s="7" t="s">
        <v>1475</v>
      </c>
      <c r="E316" s="5" t="s">
        <v>1476</v>
      </c>
      <c r="F316" s="8" t="s">
        <v>1477</v>
      </c>
      <c r="G316" s="8"/>
      <c r="H316" s="9" t="s">
        <v>137</v>
      </c>
      <c r="I316" s="5" t="s">
        <v>39</v>
      </c>
      <c r="J316" s="10" t="n">
        <v>210</v>
      </c>
      <c r="K316" s="6" t="n">
        <v>12</v>
      </c>
      <c r="L316" s="6" t="n">
        <v>40</v>
      </c>
      <c r="M316" s="11"/>
      <c r="N316" s="11"/>
      <c r="O316" s="11"/>
    </row>
    <row r="317" customFormat="false" ht="26.85" hidden="false" customHeight="false" outlineLevel="0" collapsed="false">
      <c r="A317" s="12" t="s">
        <v>1469</v>
      </c>
      <c r="B317" s="13" t="n">
        <v>18</v>
      </c>
      <c r="C317" s="5" t="s">
        <v>1478</v>
      </c>
      <c r="D317" s="7" t="s">
        <v>1479</v>
      </c>
      <c r="E317" s="5" t="s">
        <v>1478</v>
      </c>
      <c r="F317" s="8" t="s">
        <v>1480</v>
      </c>
      <c r="G317" s="8" t="s">
        <v>1481</v>
      </c>
      <c r="H317" s="9" t="s">
        <v>383</v>
      </c>
      <c r="I317" s="5" t="s">
        <v>39</v>
      </c>
      <c r="J317" s="10" t="n">
        <v>248</v>
      </c>
      <c r="K317" s="6" t="n">
        <v>2</v>
      </c>
      <c r="L317" s="6" t="n">
        <v>109</v>
      </c>
      <c r="M317" s="11"/>
      <c r="N317" s="11"/>
      <c r="O317" s="11"/>
    </row>
    <row r="318" customFormat="false" ht="17.35" hidden="false" customHeight="false" outlineLevel="0" collapsed="false">
      <c r="A318" s="12" t="s">
        <v>1469</v>
      </c>
      <c r="B318" s="13" t="n">
        <v>18</v>
      </c>
      <c r="C318" s="5" t="s">
        <v>1482</v>
      </c>
      <c r="D318" s="7" t="s">
        <v>1483</v>
      </c>
      <c r="E318" s="5" t="s">
        <v>1484</v>
      </c>
      <c r="F318" s="8" t="s">
        <v>1485</v>
      </c>
      <c r="G318" s="8"/>
      <c r="H318" s="9" t="s">
        <v>1486</v>
      </c>
      <c r="I318" s="5" t="s">
        <v>96</v>
      </c>
      <c r="J318" s="10" t="n">
        <v>56</v>
      </c>
      <c r="K318" s="6" t="n">
        <v>3</v>
      </c>
      <c r="L318" s="6" t="n">
        <v>104</v>
      </c>
      <c r="M318" s="11"/>
      <c r="N318" s="11"/>
      <c r="O318" s="11"/>
    </row>
    <row r="319" customFormat="false" ht="17.35" hidden="false" customHeight="false" outlineLevel="0" collapsed="false">
      <c r="A319" s="12" t="s">
        <v>1469</v>
      </c>
      <c r="B319" s="13" t="n">
        <v>18</v>
      </c>
      <c r="C319" s="5" t="s">
        <v>1487</v>
      </c>
      <c r="D319" s="7" t="s">
        <v>1488</v>
      </c>
      <c r="E319" s="5" t="s">
        <v>1489</v>
      </c>
      <c r="F319" s="8" t="s">
        <v>1490</v>
      </c>
      <c r="G319" s="8"/>
      <c r="H319" s="9" t="s">
        <v>1491</v>
      </c>
      <c r="I319" s="5" t="s">
        <v>96</v>
      </c>
      <c r="J319" s="10" t="n">
        <v>83</v>
      </c>
      <c r="K319" s="6" t="n">
        <v>2</v>
      </c>
      <c r="L319" s="6" t="n">
        <v>173</v>
      </c>
      <c r="M319" s="11"/>
      <c r="N319" s="11"/>
      <c r="O319" s="11"/>
    </row>
    <row r="320" customFormat="false" ht="17.35" hidden="false" customHeight="false" outlineLevel="0" collapsed="false">
      <c r="A320" s="12" t="s">
        <v>1469</v>
      </c>
      <c r="B320" s="13" t="n">
        <v>18</v>
      </c>
      <c r="C320" s="5" t="s">
        <v>1492</v>
      </c>
      <c r="D320" s="7" t="s">
        <v>1493</v>
      </c>
      <c r="E320" s="5" t="s">
        <v>1494</v>
      </c>
      <c r="F320" s="8" t="s">
        <v>1495</v>
      </c>
      <c r="G320" s="8"/>
      <c r="H320" s="9" t="s">
        <v>1496</v>
      </c>
      <c r="I320" s="5" t="s">
        <v>58</v>
      </c>
      <c r="J320" s="10" t="n">
        <v>51</v>
      </c>
      <c r="K320" s="6" t="n">
        <v>2</v>
      </c>
      <c r="L320" s="6" t="n">
        <v>168</v>
      </c>
      <c r="M320" s="11"/>
      <c r="N320" s="11"/>
      <c r="O320" s="11"/>
    </row>
    <row r="321" customFormat="false" ht="26.85" hidden="false" customHeight="false" outlineLevel="0" collapsed="false">
      <c r="A321" s="12" t="s">
        <v>1469</v>
      </c>
      <c r="B321" s="13" t="n">
        <v>18</v>
      </c>
      <c r="C321" s="5" t="s">
        <v>1497</v>
      </c>
      <c r="D321" s="7" t="s">
        <v>1498</v>
      </c>
      <c r="E321" s="5" t="s">
        <v>1499</v>
      </c>
      <c r="F321" s="8" t="s">
        <v>1500</v>
      </c>
      <c r="G321" s="8" t="s">
        <v>1501</v>
      </c>
      <c r="H321" s="9" t="s">
        <v>1491</v>
      </c>
      <c r="I321" s="5" t="s">
        <v>58</v>
      </c>
      <c r="J321" s="10" t="n">
        <v>83</v>
      </c>
      <c r="K321" s="6" t="n">
        <v>2</v>
      </c>
      <c r="L321" s="6" t="n">
        <v>144</v>
      </c>
      <c r="M321" s="11"/>
      <c r="N321" s="11"/>
      <c r="O321" s="11"/>
    </row>
    <row r="322" customFormat="false" ht="17.35" hidden="false" customHeight="false" outlineLevel="0" collapsed="false">
      <c r="A322" s="12" t="s">
        <v>1469</v>
      </c>
      <c r="B322" s="13" t="n">
        <v>18</v>
      </c>
      <c r="C322" s="5" t="s">
        <v>1502</v>
      </c>
      <c r="D322" s="7" t="s">
        <v>1503</v>
      </c>
      <c r="E322" s="5" t="s">
        <v>1504</v>
      </c>
      <c r="F322" s="8" t="s">
        <v>1505</v>
      </c>
      <c r="G322" s="8"/>
      <c r="H322" s="9" t="s">
        <v>1506</v>
      </c>
      <c r="I322" s="5" t="s">
        <v>39</v>
      </c>
      <c r="J322" s="10" t="n">
        <v>46</v>
      </c>
      <c r="K322" s="6" t="n">
        <v>2</v>
      </c>
      <c r="L322" s="6" t="n">
        <v>27</v>
      </c>
      <c r="M322" s="11"/>
      <c r="N322" s="11"/>
      <c r="O322" s="11"/>
    </row>
    <row r="323" customFormat="false" ht="17.35" hidden="false" customHeight="false" outlineLevel="0" collapsed="false">
      <c r="A323" s="12" t="s">
        <v>1469</v>
      </c>
      <c r="B323" s="13" t="n">
        <v>18</v>
      </c>
      <c r="C323" s="5" t="s">
        <v>1507</v>
      </c>
      <c r="D323" s="7" t="s">
        <v>1508</v>
      </c>
      <c r="E323" s="5" t="s">
        <v>1509</v>
      </c>
      <c r="F323" s="8" t="s">
        <v>1510</v>
      </c>
      <c r="G323" s="8"/>
      <c r="H323" s="9" t="s">
        <v>1511</v>
      </c>
      <c r="I323" s="5" t="s">
        <v>39</v>
      </c>
      <c r="J323" s="10" t="n">
        <v>34</v>
      </c>
      <c r="K323" s="6" t="n">
        <v>2</v>
      </c>
      <c r="L323" s="6" t="n">
        <v>27</v>
      </c>
      <c r="M323" s="11"/>
      <c r="N323" s="11"/>
      <c r="O323" s="11"/>
    </row>
    <row r="324" customFormat="false" ht="26.85" hidden="false" customHeight="false" outlineLevel="0" collapsed="false">
      <c r="A324" s="12" t="s">
        <v>1469</v>
      </c>
      <c r="B324" s="13" t="n">
        <v>18</v>
      </c>
      <c r="C324" s="5" t="s">
        <v>1512</v>
      </c>
      <c r="D324" s="7" t="s">
        <v>1513</v>
      </c>
      <c r="E324" s="5" t="s">
        <v>1514</v>
      </c>
      <c r="F324" s="8" t="s">
        <v>1515</v>
      </c>
      <c r="G324" s="8" t="s">
        <v>1516</v>
      </c>
      <c r="H324" s="9" t="s">
        <v>444</v>
      </c>
      <c r="I324" s="5" t="s">
        <v>39</v>
      </c>
      <c r="J324" s="10" t="n">
        <v>160</v>
      </c>
      <c r="K324" s="6" t="n">
        <v>2</v>
      </c>
      <c r="L324" s="6" t="n">
        <v>143</v>
      </c>
      <c r="M324" s="11"/>
      <c r="N324" s="11"/>
      <c r="O324" s="11"/>
    </row>
    <row r="325" customFormat="false" ht="17.35" hidden="false" customHeight="false" outlineLevel="0" collapsed="false">
      <c r="A325" s="12" t="s">
        <v>1469</v>
      </c>
      <c r="B325" s="13" t="n">
        <v>18</v>
      </c>
      <c r="C325" s="5" t="s">
        <v>1517</v>
      </c>
      <c r="D325" s="7" t="s">
        <v>1518</v>
      </c>
      <c r="E325" s="5" t="s">
        <v>1517</v>
      </c>
      <c r="F325" s="8" t="s">
        <v>1519</v>
      </c>
      <c r="G325" s="8"/>
      <c r="H325" s="9" t="s">
        <v>1520</v>
      </c>
      <c r="I325" s="5" t="s">
        <v>96</v>
      </c>
      <c r="J325" s="10" t="n">
        <v>170</v>
      </c>
      <c r="K325" s="6" t="n">
        <v>2</v>
      </c>
      <c r="L325" s="6" t="n">
        <v>61</v>
      </c>
      <c r="M325" s="11"/>
      <c r="N325" s="11"/>
      <c r="O325" s="11"/>
    </row>
    <row r="326" customFormat="false" ht="17.35" hidden="false" customHeight="false" outlineLevel="0" collapsed="false">
      <c r="A326" s="12" t="s">
        <v>1469</v>
      </c>
      <c r="B326" s="13" t="n">
        <v>18</v>
      </c>
      <c r="C326" s="5" t="s">
        <v>1521</v>
      </c>
      <c r="D326" s="7" t="s">
        <v>1522</v>
      </c>
      <c r="E326" s="5" t="s">
        <v>1523</v>
      </c>
      <c r="F326" s="8" t="s">
        <v>1524</v>
      </c>
      <c r="G326" s="8"/>
      <c r="H326" s="9" t="s">
        <v>1520</v>
      </c>
      <c r="I326" s="5" t="s">
        <v>39</v>
      </c>
      <c r="J326" s="10" t="n">
        <v>170</v>
      </c>
      <c r="K326" s="6" t="n">
        <v>2</v>
      </c>
      <c r="L326" s="6" t="n">
        <v>216</v>
      </c>
      <c r="M326" s="11"/>
      <c r="N326" s="11"/>
      <c r="O326" s="11"/>
    </row>
    <row r="327" customFormat="false" ht="39.55" hidden="false" customHeight="false" outlineLevel="0" collapsed="false">
      <c r="A327" s="12" t="s">
        <v>1469</v>
      </c>
      <c r="B327" s="13" t="n">
        <v>18</v>
      </c>
      <c r="C327" s="5" t="s">
        <v>1525</v>
      </c>
      <c r="D327" s="7" t="s">
        <v>1526</v>
      </c>
      <c r="E327" s="5" t="s">
        <v>1527</v>
      </c>
      <c r="F327" s="8" t="s">
        <v>1528</v>
      </c>
      <c r="G327" s="8" t="s">
        <v>1529</v>
      </c>
      <c r="H327" s="9" t="s">
        <v>1530</v>
      </c>
      <c r="I327" s="5" t="s">
        <v>96</v>
      </c>
      <c r="J327" s="10" t="n">
        <v>41</v>
      </c>
      <c r="K327" s="6" t="n">
        <v>9</v>
      </c>
      <c r="L327" s="6" t="n">
        <v>41</v>
      </c>
      <c r="M327" s="11"/>
      <c r="N327" s="11"/>
      <c r="O327" s="11"/>
    </row>
    <row r="328" customFormat="false" ht="17.35" hidden="false" customHeight="false" outlineLevel="0" collapsed="false">
      <c r="A328" s="12" t="s">
        <v>1469</v>
      </c>
      <c r="B328" s="13" t="n">
        <v>18</v>
      </c>
      <c r="C328" s="5" t="s">
        <v>1531</v>
      </c>
      <c r="D328" s="7" t="s">
        <v>1532</v>
      </c>
      <c r="E328" s="5" t="s">
        <v>1533</v>
      </c>
      <c r="F328" s="8" t="s">
        <v>1534</v>
      </c>
      <c r="G328" s="8"/>
      <c r="H328" s="9" t="s">
        <v>1535</v>
      </c>
      <c r="I328" s="5" t="s">
        <v>39</v>
      </c>
      <c r="J328" s="10" t="n">
        <v>106</v>
      </c>
      <c r="K328" s="6" t="n">
        <v>2</v>
      </c>
      <c r="L328" s="6" t="n">
        <v>36</v>
      </c>
      <c r="M328" s="11"/>
      <c r="N328" s="11"/>
      <c r="O328" s="11"/>
    </row>
    <row r="329" customFormat="false" ht="17.35" hidden="false" customHeight="false" outlineLevel="0" collapsed="false">
      <c r="A329" s="12" t="s">
        <v>1469</v>
      </c>
      <c r="B329" s="13" t="n">
        <v>18</v>
      </c>
      <c r="C329" s="5" t="s">
        <v>1536</v>
      </c>
      <c r="D329" s="7" t="s">
        <v>1537</v>
      </c>
      <c r="E329" s="5" t="s">
        <v>1538</v>
      </c>
      <c r="F329" s="8" t="s">
        <v>1539</v>
      </c>
      <c r="G329" s="8"/>
      <c r="H329" s="9" t="s">
        <v>1145</v>
      </c>
      <c r="I329" s="5" t="s">
        <v>96</v>
      </c>
      <c r="J329" s="10" t="n">
        <v>158</v>
      </c>
      <c r="K329" s="6" t="n">
        <v>2</v>
      </c>
      <c r="L329" s="6" t="n">
        <v>48</v>
      </c>
      <c r="M329" s="11"/>
      <c r="N329" s="11"/>
      <c r="O329" s="11"/>
    </row>
    <row r="330" customFormat="false" ht="17.35" hidden="false" customHeight="false" outlineLevel="0" collapsed="false">
      <c r="A330" s="12" t="s">
        <v>1469</v>
      </c>
      <c r="B330" s="13" t="n">
        <v>18</v>
      </c>
      <c r="C330" s="5" t="s">
        <v>1540</v>
      </c>
      <c r="D330" s="7" t="s">
        <v>1541</v>
      </c>
      <c r="E330" s="5" t="s">
        <v>1542</v>
      </c>
      <c r="F330" s="8" t="s">
        <v>1543</v>
      </c>
      <c r="G330" s="8"/>
      <c r="H330" s="9" t="s">
        <v>1145</v>
      </c>
      <c r="I330" s="5" t="s">
        <v>39</v>
      </c>
      <c r="J330" s="10" t="n">
        <v>158</v>
      </c>
      <c r="K330" s="6" t="n">
        <v>110</v>
      </c>
      <c r="L330" s="6" t="n">
        <v>1</v>
      </c>
      <c r="M330" s="11"/>
      <c r="N330" s="11"/>
      <c r="O330" s="11"/>
    </row>
    <row r="331" customFormat="false" ht="17.35" hidden="false" customHeight="false" outlineLevel="0" collapsed="false">
      <c r="A331" s="12" t="s">
        <v>1469</v>
      </c>
      <c r="B331" s="13" t="n">
        <v>18</v>
      </c>
      <c r="C331" s="5" t="s">
        <v>1544</v>
      </c>
      <c r="D331" s="7" t="s">
        <v>1545</v>
      </c>
      <c r="E331" s="5" t="s">
        <v>1546</v>
      </c>
      <c r="F331" s="8" t="s">
        <v>1547</v>
      </c>
      <c r="G331" s="8"/>
      <c r="H331" s="9" t="s">
        <v>1548</v>
      </c>
      <c r="I331" s="5" t="s">
        <v>39</v>
      </c>
      <c r="J331" s="10" t="n">
        <v>38</v>
      </c>
      <c r="K331" s="6" t="n">
        <v>48</v>
      </c>
      <c r="L331" s="6" t="n">
        <v>1</v>
      </c>
      <c r="M331" s="11"/>
      <c r="N331" s="11"/>
      <c r="O331" s="11"/>
    </row>
    <row r="332" customFormat="false" ht="17.35" hidden="false" customHeight="false" outlineLevel="0" collapsed="false">
      <c r="A332" s="12" t="s">
        <v>1469</v>
      </c>
      <c r="B332" s="13" t="n">
        <v>18</v>
      </c>
      <c r="C332" s="5" t="s">
        <v>1549</v>
      </c>
      <c r="D332" s="7" t="s">
        <v>1550</v>
      </c>
      <c r="E332" s="5" t="s">
        <v>1551</v>
      </c>
      <c r="F332" s="8" t="s">
        <v>1552</v>
      </c>
      <c r="G332" s="8"/>
      <c r="H332" s="9" t="s">
        <v>1553</v>
      </c>
      <c r="I332" s="5" t="s">
        <v>39</v>
      </c>
      <c r="J332" s="10" t="n">
        <v>39</v>
      </c>
      <c r="K332" s="6" t="n">
        <v>14</v>
      </c>
      <c r="L332" s="6" t="n">
        <v>22</v>
      </c>
      <c r="M332" s="11"/>
      <c r="N332" s="11"/>
      <c r="O332" s="11"/>
    </row>
    <row r="333" customFormat="false" ht="17.35" hidden="false" customHeight="false" outlineLevel="0" collapsed="false">
      <c r="A333" s="5" t="s">
        <v>1554</v>
      </c>
      <c r="B333" s="6" t="n">
        <v>19</v>
      </c>
      <c r="C333" s="5" t="s">
        <v>1555</v>
      </c>
      <c r="D333" s="7" t="s">
        <v>1556</v>
      </c>
      <c r="E333" s="5" t="s">
        <v>1557</v>
      </c>
      <c r="F333" s="8" t="s">
        <v>1558</v>
      </c>
      <c r="G333" s="8"/>
      <c r="H333" s="9" t="s">
        <v>106</v>
      </c>
      <c r="I333" s="5" t="s">
        <v>39</v>
      </c>
      <c r="J333" s="10" t="n">
        <v>316</v>
      </c>
      <c r="K333" s="6" t="n">
        <v>2</v>
      </c>
      <c r="L333" s="6" t="n">
        <v>2</v>
      </c>
      <c r="M333" s="11"/>
      <c r="N333" s="11"/>
      <c r="O333" s="11"/>
    </row>
    <row r="334" customFormat="false" ht="17.35" hidden="false" customHeight="false" outlineLevel="0" collapsed="false">
      <c r="A334" s="5" t="s">
        <v>1554</v>
      </c>
      <c r="B334" s="6" t="n">
        <v>19</v>
      </c>
      <c r="C334" s="5" t="s">
        <v>1559</v>
      </c>
      <c r="D334" s="7" t="s">
        <v>1560</v>
      </c>
      <c r="E334" s="5" t="s">
        <v>1561</v>
      </c>
      <c r="F334" s="8" t="s">
        <v>1562</v>
      </c>
      <c r="G334" s="8"/>
      <c r="H334" s="9" t="s">
        <v>106</v>
      </c>
      <c r="I334" s="5" t="s">
        <v>96</v>
      </c>
      <c r="J334" s="10" t="n">
        <v>316</v>
      </c>
      <c r="K334" s="6" t="n">
        <v>2</v>
      </c>
      <c r="L334" s="6" t="n">
        <v>16</v>
      </c>
      <c r="M334" s="11"/>
      <c r="N334" s="11"/>
      <c r="O334" s="11"/>
    </row>
    <row r="335" customFormat="false" ht="17.35" hidden="false" customHeight="false" outlineLevel="0" collapsed="false">
      <c r="A335" s="5" t="s">
        <v>1554</v>
      </c>
      <c r="B335" s="6" t="n">
        <v>19</v>
      </c>
      <c r="C335" s="5" t="s">
        <v>1563</v>
      </c>
      <c r="D335" s="7" t="s">
        <v>1564</v>
      </c>
      <c r="E335" s="5" t="s">
        <v>1565</v>
      </c>
      <c r="F335" s="8" t="s">
        <v>1566</v>
      </c>
      <c r="G335" s="8"/>
      <c r="H335" s="9" t="s">
        <v>1567</v>
      </c>
      <c r="I335" s="5" t="s">
        <v>96</v>
      </c>
      <c r="J335" s="10" t="n">
        <v>191</v>
      </c>
      <c r="K335" s="6" t="n">
        <v>1</v>
      </c>
      <c r="L335" s="6" t="n">
        <v>7</v>
      </c>
      <c r="M335" s="11"/>
      <c r="N335" s="11"/>
      <c r="O335" s="11"/>
    </row>
    <row r="336" customFormat="false" ht="17.35" hidden="false" customHeight="false" outlineLevel="0" collapsed="false">
      <c r="A336" s="5" t="s">
        <v>1554</v>
      </c>
      <c r="B336" s="6" t="n">
        <v>19</v>
      </c>
      <c r="C336" s="5" t="s">
        <v>1568</v>
      </c>
      <c r="D336" s="7" t="s">
        <v>1569</v>
      </c>
      <c r="E336" s="5" t="s">
        <v>1570</v>
      </c>
      <c r="F336" s="8" t="s">
        <v>1571</v>
      </c>
      <c r="G336" s="8"/>
      <c r="H336" s="9" t="s">
        <v>1567</v>
      </c>
      <c r="I336" s="5" t="s">
        <v>39</v>
      </c>
      <c r="J336" s="10" t="n">
        <v>191</v>
      </c>
      <c r="K336" s="6" t="n">
        <v>3</v>
      </c>
      <c r="L336" s="6" t="n">
        <v>164</v>
      </c>
      <c r="M336" s="11"/>
      <c r="N336" s="11"/>
      <c r="O336" s="11"/>
    </row>
    <row r="337" customFormat="false" ht="17.35" hidden="false" customHeight="false" outlineLevel="0" collapsed="false">
      <c r="A337" s="5" t="s">
        <v>1554</v>
      </c>
      <c r="B337" s="6" t="n">
        <v>19</v>
      </c>
      <c r="C337" s="5" t="s">
        <v>1572</v>
      </c>
      <c r="D337" s="7" t="s">
        <v>1573</v>
      </c>
      <c r="E337" s="5" t="s">
        <v>1574</v>
      </c>
      <c r="F337" s="8" t="s">
        <v>1575</v>
      </c>
      <c r="G337" s="8"/>
      <c r="H337" s="9" t="s">
        <v>1567</v>
      </c>
      <c r="I337" s="5" t="s">
        <v>96</v>
      </c>
      <c r="J337" s="10" t="n">
        <v>191</v>
      </c>
      <c r="K337" s="6" t="n">
        <v>14</v>
      </c>
      <c r="L337" s="6" t="n">
        <v>4</v>
      </c>
      <c r="M337" s="11"/>
      <c r="N337" s="11"/>
      <c r="O337" s="11"/>
    </row>
    <row r="338" customFormat="false" ht="26.85" hidden="false" customHeight="false" outlineLevel="0" collapsed="false">
      <c r="A338" s="5" t="s">
        <v>1554</v>
      </c>
      <c r="B338" s="6" t="n">
        <v>19</v>
      </c>
      <c r="C338" s="5" t="s">
        <v>1576</v>
      </c>
      <c r="D338" s="7" t="s">
        <v>1577</v>
      </c>
      <c r="E338" s="5" t="s">
        <v>1578</v>
      </c>
      <c r="F338" s="8" t="s">
        <v>1579</v>
      </c>
      <c r="G338" s="8" t="s">
        <v>1580</v>
      </c>
      <c r="H338" s="9" t="s">
        <v>1002</v>
      </c>
      <c r="I338" s="5" t="s">
        <v>39</v>
      </c>
      <c r="J338" s="10" t="n">
        <v>315</v>
      </c>
      <c r="K338" s="6" t="n">
        <v>2</v>
      </c>
      <c r="L338" s="6" t="n">
        <v>257</v>
      </c>
      <c r="M338" s="11"/>
      <c r="N338" s="11"/>
      <c r="O338" s="11"/>
    </row>
    <row r="339" customFormat="false" ht="17.35" hidden="false" customHeight="false" outlineLevel="0" collapsed="false">
      <c r="A339" s="5" t="s">
        <v>1554</v>
      </c>
      <c r="B339" s="6" t="n">
        <v>19</v>
      </c>
      <c r="C339" s="5" t="s">
        <v>1581</v>
      </c>
      <c r="D339" s="7" t="s">
        <v>1582</v>
      </c>
      <c r="E339" s="5" t="s">
        <v>1583</v>
      </c>
      <c r="F339" s="8" t="s">
        <v>1584</v>
      </c>
      <c r="G339" s="8"/>
      <c r="H339" s="9" t="s">
        <v>1585</v>
      </c>
      <c r="I339" s="5" t="s">
        <v>58</v>
      </c>
      <c r="J339" s="10" t="n">
        <v>33</v>
      </c>
      <c r="K339" s="6" t="n">
        <v>2</v>
      </c>
      <c r="L339" s="6" t="n">
        <v>18</v>
      </c>
      <c r="M339" s="11"/>
      <c r="N339" s="11"/>
      <c r="O339" s="11"/>
    </row>
    <row r="340" customFormat="false" ht="17.35" hidden="false" customHeight="false" outlineLevel="0" collapsed="false">
      <c r="A340" s="5" t="s">
        <v>1554</v>
      </c>
      <c r="B340" s="6" t="n">
        <v>19</v>
      </c>
      <c r="C340" s="5" t="s">
        <v>1586</v>
      </c>
      <c r="D340" s="7" t="s">
        <v>1587</v>
      </c>
      <c r="E340" s="5" t="s">
        <v>1588</v>
      </c>
      <c r="F340" s="8" t="s">
        <v>1589</v>
      </c>
      <c r="G340" s="8"/>
      <c r="H340" s="9" t="s">
        <v>1590</v>
      </c>
      <c r="I340" s="5" t="s">
        <v>58</v>
      </c>
      <c r="J340" s="10" t="n">
        <v>15</v>
      </c>
      <c r="K340" s="6" t="n">
        <v>2</v>
      </c>
      <c r="L340" s="6" t="n">
        <v>18</v>
      </c>
      <c r="M340" s="11"/>
      <c r="N340" s="11"/>
      <c r="O340" s="11"/>
    </row>
    <row r="341" customFormat="false" ht="17.35" hidden="false" customHeight="false" outlineLevel="0" collapsed="false">
      <c r="A341" s="5" t="s">
        <v>1554</v>
      </c>
      <c r="B341" s="6" t="n">
        <v>19</v>
      </c>
      <c r="C341" s="5" t="s">
        <v>1591</v>
      </c>
      <c r="D341" s="7" t="s">
        <v>1592</v>
      </c>
      <c r="E341" s="5" t="s">
        <v>1591</v>
      </c>
      <c r="F341" s="8" t="s">
        <v>1593</v>
      </c>
      <c r="G341" s="8" t="s">
        <v>1594</v>
      </c>
      <c r="H341" s="9" t="s">
        <v>1595</v>
      </c>
      <c r="I341" s="5" t="s">
        <v>39</v>
      </c>
      <c r="J341" s="10" t="n">
        <v>60</v>
      </c>
      <c r="K341" s="6" t="n">
        <v>2</v>
      </c>
      <c r="L341" s="6" t="n">
        <v>191</v>
      </c>
      <c r="M341" s="11"/>
      <c r="N341" s="11"/>
      <c r="O341" s="11"/>
    </row>
    <row r="342" customFormat="false" ht="17.35" hidden="false" customHeight="false" outlineLevel="0" collapsed="false">
      <c r="A342" s="5" t="s">
        <v>1554</v>
      </c>
      <c r="B342" s="6" t="n">
        <v>19</v>
      </c>
      <c r="C342" s="5" t="s">
        <v>1596</v>
      </c>
      <c r="D342" s="7" t="s">
        <v>1597</v>
      </c>
      <c r="E342" s="5" t="s">
        <v>1598</v>
      </c>
      <c r="F342" s="8" t="s">
        <v>1599</v>
      </c>
      <c r="G342" s="8"/>
      <c r="H342" s="9" t="s">
        <v>1600</v>
      </c>
      <c r="I342" s="5" t="s">
        <v>96</v>
      </c>
      <c r="J342" s="10" t="n">
        <v>38</v>
      </c>
      <c r="K342" s="6" t="n">
        <v>2</v>
      </c>
      <c r="L342" s="6" t="n">
        <v>124</v>
      </c>
      <c r="M342" s="11"/>
      <c r="N342" s="11"/>
      <c r="O342" s="11"/>
    </row>
    <row r="343" customFormat="false" ht="17.35" hidden="false" customHeight="false" outlineLevel="0" collapsed="false">
      <c r="A343" s="5" t="s">
        <v>1554</v>
      </c>
      <c r="B343" s="6" t="n">
        <v>19</v>
      </c>
      <c r="C343" s="5" t="s">
        <v>1601</v>
      </c>
      <c r="D343" s="7" t="s">
        <v>1602</v>
      </c>
      <c r="E343" s="5" t="s">
        <v>1601</v>
      </c>
      <c r="F343" s="8" t="s">
        <v>1603</v>
      </c>
      <c r="G343" s="8"/>
      <c r="H343" s="9" t="s">
        <v>518</v>
      </c>
      <c r="I343" s="5" t="s">
        <v>96</v>
      </c>
      <c r="J343" s="10" t="n">
        <v>292</v>
      </c>
      <c r="K343" s="6" t="n">
        <v>2</v>
      </c>
      <c r="L343" s="6" t="n">
        <v>221</v>
      </c>
      <c r="M343" s="11"/>
      <c r="N343" s="11"/>
      <c r="O343" s="11"/>
    </row>
    <row r="344" customFormat="false" ht="17.35" hidden="false" customHeight="false" outlineLevel="0" collapsed="false">
      <c r="A344" s="5" t="s">
        <v>1554</v>
      </c>
      <c r="B344" s="6" t="n">
        <v>19</v>
      </c>
      <c r="C344" s="5" t="s">
        <v>1604</v>
      </c>
      <c r="D344" s="7" t="s">
        <v>1605</v>
      </c>
      <c r="E344" s="5" t="s">
        <v>1604</v>
      </c>
      <c r="F344" s="8" t="s">
        <v>1606</v>
      </c>
      <c r="G344" s="8"/>
      <c r="H344" s="9" t="s">
        <v>1607</v>
      </c>
      <c r="I344" s="5" t="s">
        <v>96</v>
      </c>
      <c r="J344" s="10" t="n">
        <v>18</v>
      </c>
      <c r="K344" s="6" t="n">
        <v>2</v>
      </c>
      <c r="L344" s="6" t="n">
        <v>219</v>
      </c>
      <c r="M344" s="11"/>
      <c r="N344" s="11"/>
      <c r="O344" s="11"/>
    </row>
    <row r="345" customFormat="false" ht="26.85" hidden="false" customHeight="false" outlineLevel="0" collapsed="false">
      <c r="A345" s="5" t="s">
        <v>1554</v>
      </c>
      <c r="B345" s="6" t="n">
        <v>19</v>
      </c>
      <c r="C345" s="5" t="s">
        <v>1608</v>
      </c>
      <c r="D345" s="7" t="s">
        <v>1609</v>
      </c>
      <c r="E345" s="5" t="s">
        <v>1608</v>
      </c>
      <c r="F345" s="8" t="s">
        <v>1610</v>
      </c>
      <c r="G345" s="8" t="s">
        <v>1611</v>
      </c>
      <c r="H345" s="9" t="s">
        <v>1612</v>
      </c>
      <c r="I345" s="5" t="s">
        <v>96</v>
      </c>
      <c r="J345" s="10" t="n">
        <v>44</v>
      </c>
      <c r="K345" s="6" t="n">
        <v>47</v>
      </c>
      <c r="L345" s="6" t="n">
        <v>24</v>
      </c>
      <c r="M345" s="11"/>
      <c r="N345" s="11"/>
      <c r="O345" s="11"/>
    </row>
    <row r="346" customFormat="false" ht="17.35" hidden="false" customHeight="false" outlineLevel="0" collapsed="false">
      <c r="A346" s="5" t="s">
        <v>1554</v>
      </c>
      <c r="B346" s="6" t="n">
        <v>19</v>
      </c>
      <c r="C346" s="5" t="s">
        <v>1613</v>
      </c>
      <c r="D346" s="7" t="s">
        <v>1614</v>
      </c>
      <c r="E346" s="5" t="s">
        <v>1613</v>
      </c>
      <c r="F346" s="8" t="s">
        <v>1615</v>
      </c>
      <c r="G346" s="8"/>
      <c r="H346" s="9" t="s">
        <v>1616</v>
      </c>
      <c r="I346" s="5" t="s">
        <v>96</v>
      </c>
      <c r="J346" s="10" t="n">
        <v>123</v>
      </c>
      <c r="K346" s="6" t="n">
        <v>2</v>
      </c>
      <c r="L346" s="6" t="n">
        <v>25</v>
      </c>
      <c r="M346" s="11"/>
      <c r="N346" s="11"/>
      <c r="O346" s="11"/>
    </row>
    <row r="347" customFormat="false" ht="17.35" hidden="false" customHeight="false" outlineLevel="0" collapsed="false">
      <c r="A347" s="5" t="s">
        <v>1554</v>
      </c>
      <c r="B347" s="6" t="n">
        <v>19</v>
      </c>
      <c r="C347" s="5" t="s">
        <v>1617</v>
      </c>
      <c r="D347" s="7" t="s">
        <v>1618</v>
      </c>
      <c r="E347" s="5" t="s">
        <v>1617</v>
      </c>
      <c r="F347" s="8" t="s">
        <v>1619</v>
      </c>
      <c r="G347" s="8"/>
      <c r="H347" s="9" t="s">
        <v>1620</v>
      </c>
      <c r="I347" s="5" t="s">
        <v>96</v>
      </c>
      <c r="J347" s="10" t="n">
        <v>130</v>
      </c>
      <c r="K347" s="6" t="n">
        <v>2</v>
      </c>
      <c r="L347" s="6" t="n">
        <v>6</v>
      </c>
      <c r="M347" s="11"/>
      <c r="N347" s="11"/>
      <c r="O347" s="11"/>
    </row>
    <row r="348" customFormat="false" ht="17.35" hidden="false" customHeight="false" outlineLevel="0" collapsed="false">
      <c r="A348" s="5" t="s">
        <v>1554</v>
      </c>
      <c r="B348" s="6" t="n">
        <v>19</v>
      </c>
      <c r="C348" s="5" t="s">
        <v>1621</v>
      </c>
      <c r="D348" s="7" t="s">
        <v>1622</v>
      </c>
      <c r="E348" s="5" t="s">
        <v>1623</v>
      </c>
      <c r="F348" s="8" t="s">
        <v>1624</v>
      </c>
      <c r="G348" s="8"/>
      <c r="H348" s="9" t="s">
        <v>1625</v>
      </c>
      <c r="I348" s="5" t="s">
        <v>96</v>
      </c>
      <c r="J348" s="10" t="n">
        <v>172</v>
      </c>
      <c r="K348" s="6" t="n">
        <v>2</v>
      </c>
      <c r="L348" s="6" t="n">
        <v>38</v>
      </c>
      <c r="M348" s="11"/>
      <c r="N348" s="11"/>
      <c r="O348" s="11"/>
    </row>
    <row r="349" customFormat="false" ht="26.85" hidden="false" customHeight="false" outlineLevel="0" collapsed="false">
      <c r="A349" s="12" t="s">
        <v>1626</v>
      </c>
      <c r="B349" s="13" t="n">
        <v>20</v>
      </c>
      <c r="C349" s="5" t="s">
        <v>1627</v>
      </c>
      <c r="D349" s="7" t="s">
        <v>1628</v>
      </c>
      <c r="E349" s="5" t="s">
        <v>1629</v>
      </c>
      <c r="F349" s="8" t="s">
        <v>1630</v>
      </c>
      <c r="G349" s="8" t="s">
        <v>1631</v>
      </c>
      <c r="H349" s="9" t="s">
        <v>324</v>
      </c>
      <c r="I349" s="5" t="s">
        <v>96</v>
      </c>
      <c r="J349" s="10" t="n">
        <v>549</v>
      </c>
      <c r="K349" s="6" t="n">
        <v>2</v>
      </c>
      <c r="L349" s="6" t="n">
        <v>43</v>
      </c>
      <c r="M349" s="11"/>
      <c r="N349" s="11"/>
      <c r="O349" s="11"/>
    </row>
    <row r="350" customFormat="false" ht="17.35" hidden="false" customHeight="false" outlineLevel="0" collapsed="false">
      <c r="A350" s="12" t="s">
        <v>1626</v>
      </c>
      <c r="B350" s="13" t="n">
        <v>20</v>
      </c>
      <c r="C350" s="5" t="s">
        <v>1632</v>
      </c>
      <c r="D350" s="7" t="s">
        <v>1633</v>
      </c>
      <c r="E350" s="5" t="s">
        <v>1634</v>
      </c>
      <c r="F350" s="8" t="s">
        <v>1635</v>
      </c>
      <c r="G350" s="8"/>
      <c r="H350" s="9" t="s">
        <v>1636</v>
      </c>
      <c r="I350" s="5" t="s">
        <v>96</v>
      </c>
      <c r="J350" s="10" t="n">
        <v>129</v>
      </c>
      <c r="K350" s="6" t="n">
        <v>2</v>
      </c>
      <c r="L350" s="6" t="n">
        <v>108</v>
      </c>
      <c r="M350" s="11"/>
      <c r="N350" s="11"/>
      <c r="O350" s="11"/>
    </row>
    <row r="351" customFormat="false" ht="17.35" hidden="false" customHeight="false" outlineLevel="0" collapsed="false">
      <c r="A351" s="12" t="s">
        <v>1626</v>
      </c>
      <c r="B351" s="13" t="n">
        <v>20</v>
      </c>
      <c r="C351" s="5" t="s">
        <v>1637</v>
      </c>
      <c r="D351" s="7" t="s">
        <v>1638</v>
      </c>
      <c r="E351" s="5" t="s">
        <v>1639</v>
      </c>
      <c r="F351" s="8" t="s">
        <v>1640</v>
      </c>
      <c r="G351" s="8"/>
      <c r="H351" s="9" t="s">
        <v>1641</v>
      </c>
      <c r="I351" s="5" t="s">
        <v>96</v>
      </c>
      <c r="J351" s="10" t="n">
        <v>63</v>
      </c>
      <c r="K351" s="6" t="n">
        <v>2</v>
      </c>
      <c r="L351" s="6" t="n">
        <v>117</v>
      </c>
      <c r="M351" s="11"/>
      <c r="N351" s="11"/>
      <c r="O351" s="11"/>
    </row>
    <row r="352" customFormat="false" ht="17.35" hidden="false" customHeight="false" outlineLevel="0" collapsed="false">
      <c r="A352" s="12" t="s">
        <v>1626</v>
      </c>
      <c r="B352" s="13" t="n">
        <v>20</v>
      </c>
      <c r="C352" s="5" t="s">
        <v>1642</v>
      </c>
      <c r="D352" s="7" t="s">
        <v>1643</v>
      </c>
      <c r="E352" s="5" t="s">
        <v>1642</v>
      </c>
      <c r="F352" s="8" t="s">
        <v>1644</v>
      </c>
      <c r="G352" s="8"/>
      <c r="H352" s="9" t="s">
        <v>79</v>
      </c>
      <c r="I352" s="5" t="s">
        <v>96</v>
      </c>
      <c r="J352" s="10" t="n">
        <v>206</v>
      </c>
      <c r="K352" s="6" t="n">
        <v>2</v>
      </c>
      <c r="L352" s="6" t="n">
        <v>102</v>
      </c>
      <c r="M352" s="11"/>
      <c r="N352" s="11"/>
      <c r="O352" s="11"/>
    </row>
    <row r="353" customFormat="false" ht="26.85" hidden="false" customHeight="false" outlineLevel="0" collapsed="false">
      <c r="A353" s="12" t="s">
        <v>1626</v>
      </c>
      <c r="B353" s="13" t="n">
        <v>20</v>
      </c>
      <c r="C353" s="5" t="s">
        <v>1645</v>
      </c>
      <c r="D353" s="7" t="s">
        <v>1646</v>
      </c>
      <c r="E353" s="5" t="s">
        <v>1647</v>
      </c>
      <c r="F353" s="8" t="s">
        <v>1648</v>
      </c>
      <c r="G353" s="8" t="s">
        <v>1649</v>
      </c>
      <c r="H353" s="9" t="s">
        <v>1650</v>
      </c>
      <c r="I353" s="5" t="s">
        <v>96</v>
      </c>
      <c r="J353" s="10" t="n">
        <v>27</v>
      </c>
      <c r="K353" s="6" t="n">
        <v>3</v>
      </c>
      <c r="L353" s="6" t="n">
        <v>137</v>
      </c>
      <c r="M353" s="11"/>
      <c r="N353" s="11"/>
      <c r="O353" s="11"/>
    </row>
    <row r="354" customFormat="false" ht="17.35" hidden="false" customHeight="false" outlineLevel="0" collapsed="false">
      <c r="A354" s="12" t="s">
        <v>1626</v>
      </c>
      <c r="B354" s="13" t="n">
        <v>20</v>
      </c>
      <c r="C354" s="5" t="s">
        <v>1651</v>
      </c>
      <c r="D354" s="7" t="s">
        <v>1652</v>
      </c>
      <c r="E354" s="5" t="s">
        <v>1651</v>
      </c>
      <c r="F354" s="8" t="s">
        <v>1653</v>
      </c>
      <c r="G354" s="8"/>
      <c r="H354" s="9" t="s">
        <v>1299</v>
      </c>
      <c r="I354" s="5" t="s">
        <v>96</v>
      </c>
      <c r="J354" s="10" t="n">
        <v>69</v>
      </c>
      <c r="K354" s="6" t="n">
        <v>2</v>
      </c>
      <c r="L354" s="6" t="n">
        <v>35</v>
      </c>
      <c r="M354" s="11"/>
      <c r="N354" s="11"/>
      <c r="O354" s="11"/>
    </row>
    <row r="355" customFormat="false" ht="17.35" hidden="false" customHeight="false" outlineLevel="0" collapsed="false">
      <c r="A355" s="12" t="s">
        <v>1626</v>
      </c>
      <c r="B355" s="13" t="n">
        <v>20</v>
      </c>
      <c r="C355" s="5" t="s">
        <v>1654</v>
      </c>
      <c r="D355" s="7" t="s">
        <v>1655</v>
      </c>
      <c r="E355" s="5" t="s">
        <v>1656</v>
      </c>
      <c r="F355" s="8" t="s">
        <v>1657</v>
      </c>
      <c r="G355" s="8"/>
      <c r="H355" s="9" t="s">
        <v>1658</v>
      </c>
      <c r="I355" s="5" t="s">
        <v>96</v>
      </c>
      <c r="J355" s="10" t="n">
        <v>15</v>
      </c>
      <c r="K355" s="6" t="n">
        <v>10</v>
      </c>
      <c r="L355" s="6" t="n">
        <v>4</v>
      </c>
      <c r="M355" s="11"/>
      <c r="N355" s="11"/>
      <c r="O355" s="11"/>
    </row>
    <row r="356" customFormat="false" ht="17.35" hidden="false" customHeight="false" outlineLevel="0" collapsed="false">
      <c r="A356" s="12" t="s">
        <v>1626</v>
      </c>
      <c r="B356" s="13" t="n">
        <v>20</v>
      </c>
      <c r="C356" s="5" t="s">
        <v>1659</v>
      </c>
      <c r="D356" s="7" t="s">
        <v>1660</v>
      </c>
      <c r="E356" s="5" t="s">
        <v>1659</v>
      </c>
      <c r="F356" s="8" t="s">
        <v>1661</v>
      </c>
      <c r="G356" s="8"/>
      <c r="H356" s="9" t="s">
        <v>1662</v>
      </c>
      <c r="I356" s="5" t="s">
        <v>96</v>
      </c>
      <c r="J356" s="10" t="n">
        <v>22</v>
      </c>
      <c r="K356" s="6" t="n">
        <v>5</v>
      </c>
      <c r="L356" s="6" t="n">
        <v>3</v>
      </c>
      <c r="M356" s="11"/>
      <c r="N356" s="11"/>
      <c r="O356" s="11"/>
    </row>
    <row r="357" customFormat="false" ht="17.35" hidden="false" customHeight="false" outlineLevel="0" collapsed="false">
      <c r="A357" s="12" t="s">
        <v>1626</v>
      </c>
      <c r="B357" s="13" t="n">
        <v>20</v>
      </c>
      <c r="C357" s="5" t="s">
        <v>1663</v>
      </c>
      <c r="D357" s="7" t="s">
        <v>1664</v>
      </c>
      <c r="E357" s="5" t="s">
        <v>1663</v>
      </c>
      <c r="F357" s="8" t="s">
        <v>1665</v>
      </c>
      <c r="G357" s="8"/>
      <c r="H357" s="9" t="s">
        <v>1666</v>
      </c>
      <c r="I357" s="5" t="s">
        <v>96</v>
      </c>
      <c r="J357" s="10" t="n">
        <v>46</v>
      </c>
      <c r="K357" s="6" t="n">
        <v>2</v>
      </c>
      <c r="L357" s="6" t="n">
        <v>212</v>
      </c>
      <c r="M357" s="11"/>
      <c r="N357" s="11"/>
      <c r="O357" s="11"/>
    </row>
    <row r="358" customFormat="false" ht="17.35" hidden="false" customHeight="false" outlineLevel="0" collapsed="false">
      <c r="A358" s="12" t="s">
        <v>1626</v>
      </c>
      <c r="B358" s="13" t="n">
        <v>20</v>
      </c>
      <c r="C358" s="5" t="s">
        <v>1667</v>
      </c>
      <c r="D358" s="7" t="s">
        <v>1668</v>
      </c>
      <c r="E358" s="5" t="s">
        <v>1667</v>
      </c>
      <c r="F358" s="8" t="s">
        <v>1669</v>
      </c>
      <c r="G358" s="8"/>
      <c r="H358" s="9" t="s">
        <v>1670</v>
      </c>
      <c r="I358" s="5" t="s">
        <v>96</v>
      </c>
      <c r="J358" s="10" t="n">
        <v>20</v>
      </c>
      <c r="K358" s="6" t="n">
        <v>10</v>
      </c>
      <c r="L358" s="6" t="n">
        <v>12</v>
      </c>
      <c r="M358" s="11"/>
      <c r="N358" s="11"/>
      <c r="O358" s="11"/>
    </row>
    <row r="359" customFormat="false" ht="17.35" hidden="false" customHeight="false" outlineLevel="0" collapsed="false">
      <c r="A359" s="12" t="s">
        <v>1626</v>
      </c>
      <c r="B359" s="13" t="n">
        <v>20</v>
      </c>
      <c r="C359" s="5" t="s">
        <v>1671</v>
      </c>
      <c r="D359" s="7" t="s">
        <v>1672</v>
      </c>
      <c r="E359" s="5" t="s">
        <v>1673</v>
      </c>
      <c r="F359" s="8" t="s">
        <v>1674</v>
      </c>
      <c r="G359" s="8"/>
      <c r="H359" s="9" t="s">
        <v>1675</v>
      </c>
      <c r="I359" s="5" t="s">
        <v>96</v>
      </c>
      <c r="J359" s="10" t="n">
        <v>34</v>
      </c>
      <c r="K359" s="6" t="n">
        <v>2</v>
      </c>
      <c r="L359" s="6" t="n">
        <v>271</v>
      </c>
      <c r="M359" s="11"/>
      <c r="N359" s="11"/>
      <c r="O359" s="11"/>
    </row>
    <row r="360" customFormat="false" ht="17.35" hidden="false" customHeight="false" outlineLevel="0" collapsed="false">
      <c r="A360" s="12" t="s">
        <v>1626</v>
      </c>
      <c r="B360" s="13" t="n">
        <v>20</v>
      </c>
      <c r="C360" s="5" t="s">
        <v>1676</v>
      </c>
      <c r="D360" s="7" t="s">
        <v>1677</v>
      </c>
      <c r="E360" s="5" t="s">
        <v>1678</v>
      </c>
      <c r="F360" s="8" t="s">
        <v>1679</v>
      </c>
      <c r="G360" s="8"/>
      <c r="H360" s="9" t="s">
        <v>1680</v>
      </c>
      <c r="I360" s="5" t="s">
        <v>96</v>
      </c>
      <c r="J360" s="10" t="n">
        <v>59</v>
      </c>
      <c r="K360" s="6" t="n">
        <v>30</v>
      </c>
      <c r="L360" s="6" t="n">
        <v>41</v>
      </c>
      <c r="M360" s="11"/>
      <c r="N360" s="11"/>
      <c r="O360" s="11"/>
    </row>
    <row r="361" customFormat="false" ht="17.35" hidden="false" customHeight="false" outlineLevel="0" collapsed="false">
      <c r="A361" s="12" t="s">
        <v>1626</v>
      </c>
      <c r="B361" s="13" t="n">
        <v>20</v>
      </c>
      <c r="C361" s="5" t="s">
        <v>1681</v>
      </c>
      <c r="D361" s="7" t="s">
        <v>1682</v>
      </c>
      <c r="E361" s="5" t="s">
        <v>1681</v>
      </c>
      <c r="F361" s="8" t="s">
        <v>1683</v>
      </c>
      <c r="G361" s="8"/>
      <c r="H361" s="9" t="s">
        <v>1684</v>
      </c>
      <c r="I361" s="5" t="s">
        <v>96</v>
      </c>
      <c r="J361" s="10" t="n">
        <v>43</v>
      </c>
      <c r="K361" s="6" t="n">
        <v>2</v>
      </c>
      <c r="L361" s="6" t="n">
        <v>17</v>
      </c>
      <c r="M361" s="11"/>
      <c r="N361" s="11"/>
      <c r="O361" s="11"/>
    </row>
    <row r="362" customFormat="false" ht="17.35" hidden="false" customHeight="false" outlineLevel="0" collapsed="false">
      <c r="A362" s="12" t="s">
        <v>1626</v>
      </c>
      <c r="B362" s="13" t="n">
        <v>20</v>
      </c>
      <c r="C362" s="5" t="s">
        <v>1685</v>
      </c>
      <c r="D362" s="7" t="s">
        <v>1686</v>
      </c>
      <c r="E362" s="5" t="s">
        <v>1687</v>
      </c>
      <c r="F362" s="8" t="s">
        <v>1688</v>
      </c>
      <c r="G362" s="8"/>
      <c r="H362" s="9" t="s">
        <v>1689</v>
      </c>
      <c r="I362" s="5" t="s">
        <v>96</v>
      </c>
      <c r="J362" s="10" t="n">
        <v>64</v>
      </c>
      <c r="K362" s="6" t="n">
        <v>2</v>
      </c>
      <c r="L362" s="6" t="n">
        <v>286</v>
      </c>
      <c r="M362" s="11"/>
      <c r="N362" s="11"/>
      <c r="O362" s="11"/>
    </row>
    <row r="363" customFormat="false" ht="17.35" hidden="false" customHeight="false" outlineLevel="0" collapsed="false">
      <c r="A363" s="12" t="s">
        <v>1626</v>
      </c>
      <c r="B363" s="13" t="n">
        <v>20</v>
      </c>
      <c r="C363" s="5" t="s">
        <v>1690</v>
      </c>
      <c r="D363" s="7" t="s">
        <v>1691</v>
      </c>
      <c r="E363" s="5" t="s">
        <v>1692</v>
      </c>
      <c r="F363" s="8" t="s">
        <v>1693</v>
      </c>
      <c r="G363" s="8"/>
      <c r="H363" s="9" t="s">
        <v>1694</v>
      </c>
      <c r="I363" s="5" t="s">
        <v>96</v>
      </c>
      <c r="J363" s="10" t="n">
        <v>26</v>
      </c>
      <c r="K363" s="6" t="n">
        <v>55</v>
      </c>
      <c r="L363" s="6" t="n">
        <v>7</v>
      </c>
      <c r="M363" s="11"/>
      <c r="N363" s="11"/>
      <c r="O363" s="11"/>
    </row>
    <row r="364" customFormat="false" ht="17.35" hidden="false" customHeight="false" outlineLevel="0" collapsed="false">
      <c r="A364" s="12" t="s">
        <v>1626</v>
      </c>
      <c r="B364" s="13" t="n">
        <v>20</v>
      </c>
      <c r="C364" s="5" t="s">
        <v>1695</v>
      </c>
      <c r="D364" s="7" t="s">
        <v>1696</v>
      </c>
      <c r="E364" s="5" t="s">
        <v>1697</v>
      </c>
      <c r="F364" s="8" t="s">
        <v>1698</v>
      </c>
      <c r="G364" s="8"/>
      <c r="H364" s="9" t="s">
        <v>1699</v>
      </c>
      <c r="I364" s="5" t="s">
        <v>96</v>
      </c>
      <c r="J364" s="10" t="n">
        <v>29</v>
      </c>
      <c r="K364" s="6" t="n">
        <v>2</v>
      </c>
      <c r="L364" s="6" t="n">
        <v>127</v>
      </c>
      <c r="M364" s="11"/>
      <c r="N364" s="11"/>
      <c r="O364" s="11"/>
    </row>
    <row r="365" customFormat="false" ht="17.35" hidden="false" customHeight="false" outlineLevel="0" collapsed="false">
      <c r="A365" s="12" t="s">
        <v>1626</v>
      </c>
      <c r="B365" s="13" t="n">
        <v>20</v>
      </c>
      <c r="C365" s="5" t="s">
        <v>1700</v>
      </c>
      <c r="D365" s="7" t="s">
        <v>1701</v>
      </c>
      <c r="E365" s="5" t="s">
        <v>1702</v>
      </c>
      <c r="F365" s="8" t="s">
        <v>1703</v>
      </c>
      <c r="G365" s="8"/>
      <c r="H365" s="9" t="s">
        <v>1548</v>
      </c>
      <c r="I365" s="5" t="s">
        <v>96</v>
      </c>
      <c r="J365" s="10" t="n">
        <v>38</v>
      </c>
      <c r="K365" s="6" t="n">
        <v>7</v>
      </c>
      <c r="L365" s="6" t="n">
        <v>96</v>
      </c>
      <c r="M365" s="11"/>
      <c r="N365" s="11"/>
      <c r="O365" s="11"/>
    </row>
    <row r="366" customFormat="false" ht="17.35" hidden="false" customHeight="false" outlineLevel="0" collapsed="false">
      <c r="A366" s="12" t="s">
        <v>1626</v>
      </c>
      <c r="B366" s="13" t="n">
        <v>20</v>
      </c>
      <c r="C366" s="5" t="s">
        <v>1704</v>
      </c>
      <c r="D366" s="7" t="s">
        <v>1705</v>
      </c>
      <c r="E366" s="5" t="s">
        <v>1704</v>
      </c>
      <c r="F366" s="8" t="s">
        <v>1706</v>
      </c>
      <c r="G366" s="8"/>
      <c r="H366" s="9" t="s">
        <v>1707</v>
      </c>
      <c r="I366" s="5" t="s">
        <v>96</v>
      </c>
      <c r="J366" s="10" t="n">
        <v>31</v>
      </c>
      <c r="K366" s="6" t="n">
        <v>30</v>
      </c>
      <c r="L366" s="6" t="n">
        <v>3</v>
      </c>
      <c r="M366" s="11"/>
      <c r="N366" s="11"/>
      <c r="O366" s="11"/>
    </row>
    <row r="367" customFormat="false" ht="17.35" hidden="false" customHeight="false" outlineLevel="0" collapsed="false">
      <c r="A367" s="12" t="s">
        <v>1626</v>
      </c>
      <c r="B367" s="13" t="n">
        <v>20</v>
      </c>
      <c r="C367" s="5" t="s">
        <v>1708</v>
      </c>
      <c r="D367" s="7" t="s">
        <v>1709</v>
      </c>
      <c r="E367" s="5" t="s">
        <v>1708</v>
      </c>
      <c r="F367" s="8" t="s">
        <v>1710</v>
      </c>
      <c r="G367" s="8"/>
      <c r="H367" s="9" t="s">
        <v>1711</v>
      </c>
      <c r="I367" s="5" t="s">
        <v>96</v>
      </c>
      <c r="J367" s="10" t="n">
        <v>37</v>
      </c>
      <c r="K367" s="6" t="n">
        <v>21</v>
      </c>
      <c r="L367" s="6" t="n">
        <v>101</v>
      </c>
      <c r="M367" s="11"/>
      <c r="N367" s="11"/>
      <c r="O367" s="11"/>
    </row>
    <row r="368" customFormat="false" ht="17.35" hidden="false" customHeight="false" outlineLevel="0" collapsed="false">
      <c r="A368" s="12" t="s">
        <v>1626</v>
      </c>
      <c r="B368" s="13" t="n">
        <v>20</v>
      </c>
      <c r="C368" s="5" t="s">
        <v>1712</v>
      </c>
      <c r="D368" s="7" t="s">
        <v>1713</v>
      </c>
      <c r="E368" s="5" t="s">
        <v>1712</v>
      </c>
      <c r="F368" s="8" t="s">
        <v>1714</v>
      </c>
      <c r="G368" s="8"/>
      <c r="H368" s="9" t="s">
        <v>1715</v>
      </c>
      <c r="I368" s="5" t="s">
        <v>96</v>
      </c>
      <c r="J368" s="10" t="n">
        <v>68</v>
      </c>
      <c r="K368" s="6" t="n">
        <v>7</v>
      </c>
      <c r="L368" s="6" t="n">
        <v>4</v>
      </c>
      <c r="M368" s="11"/>
      <c r="N368" s="11"/>
      <c r="O368" s="11"/>
    </row>
  </sheetData>
  <autoFilter ref="A1:O368"/>
  <dataValidations count="1">
    <dataValidation allowBlank="true" errorStyle="stop" operator="between" showDropDown="false" showErrorMessage="false" showInputMessage="false" sqref="M2:M368" type="list">
      <formula1>"OK,À corriger,Douteux"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1716</v>
      </c>
      <c r="B1" s="14"/>
      <c r="C1" s="14"/>
      <c r="D1" s="14"/>
    </row>
    <row r="2" customFormat="false" ht="15" hidden="false" customHeight="false" outlineLevel="0" collapsed="false">
      <c r="A2" s="14"/>
      <c r="B2" s="14"/>
      <c r="C2" s="14"/>
      <c r="D2" s="14"/>
    </row>
    <row r="3" customFormat="false" ht="15" hidden="false" customHeight="false" outlineLevel="0" collapsed="false">
      <c r="A3" s="14" t="s">
        <v>1717</v>
      </c>
      <c r="B3" s="14" t="n">
        <f aca="false">COUNTA(Mots!C2:C368)</f>
        <v>367</v>
      </c>
      <c r="C3" s="14"/>
      <c r="D3" s="14"/>
    </row>
    <row r="4" customFormat="false" ht="15" hidden="false" customHeight="false" outlineLevel="0" collapsed="false">
      <c r="A4" s="14" t="s">
        <v>1718</v>
      </c>
      <c r="B4" s="14" t="n">
        <f aca="false">COUNTA(Mots!M2:M368)</f>
        <v>0</v>
      </c>
      <c r="C4" s="14"/>
      <c r="D4" s="14"/>
    </row>
    <row r="5" customFormat="false" ht="15" hidden="false" customHeight="false" outlineLevel="0" collapsed="false">
      <c r="A5" s="14" t="s">
        <v>1719</v>
      </c>
      <c r="B5" s="14" t="n">
        <f aca="false">B3-B4</f>
        <v>367</v>
      </c>
      <c r="C5" s="14"/>
      <c r="D5" s="14"/>
    </row>
    <row r="6" customFormat="false" ht="15" hidden="false" customHeight="false" outlineLevel="0" collapsed="false">
      <c r="A6" s="14" t="s">
        <v>1720</v>
      </c>
      <c r="B6" s="15" t="n">
        <f aca="false">IF(B3=0,0,B4/B3)</f>
        <v>0</v>
      </c>
      <c r="C6" s="14"/>
      <c r="D6" s="14"/>
    </row>
    <row r="7" customFormat="false" ht="15" hidden="false" customHeight="false" outlineLevel="0" collapsed="false">
      <c r="A7" s="14"/>
      <c r="B7" s="14"/>
      <c r="C7" s="14"/>
      <c r="D7" s="14"/>
    </row>
    <row r="8" customFormat="false" ht="15" hidden="false" customHeight="false" outlineLevel="0" collapsed="false">
      <c r="A8" s="14" t="s">
        <v>1721</v>
      </c>
      <c r="B8" s="14" t="n">
        <f aca="false">COUNTIF(Mots!M2:M368,"OK")</f>
        <v>0</v>
      </c>
      <c r="C8" s="14"/>
      <c r="D8" s="14"/>
    </row>
    <row r="9" customFormat="false" ht="15" hidden="false" customHeight="false" outlineLevel="0" collapsed="false">
      <c r="A9" s="14" t="s">
        <v>1722</v>
      </c>
      <c r="B9" s="14" t="n">
        <f aca="false">COUNTIF(Mots!M2:M368,"À corriger")</f>
        <v>0</v>
      </c>
      <c r="C9" s="14"/>
      <c r="D9" s="14"/>
    </row>
    <row r="10" customFormat="false" ht="15" hidden="false" customHeight="false" outlineLevel="0" collapsed="false">
      <c r="A10" s="14" t="s">
        <v>1723</v>
      </c>
      <c r="B10" s="14" t="n">
        <f aca="false">COUNTIF(Mots!M2:M368,"Douteux")</f>
        <v>0</v>
      </c>
      <c r="C10" s="14"/>
      <c r="D10" s="14"/>
    </row>
    <row r="11" customFormat="false" ht="15" hidden="false" customHeight="false" outlineLevel="0" collapsed="false">
      <c r="A11" s="14" t="s">
        <v>1724</v>
      </c>
      <c r="B11" s="14" t="n">
        <f aca="false">COUNTA(Mots!G2:G368)</f>
        <v>82</v>
      </c>
      <c r="C11" s="14"/>
      <c r="D11" s="14"/>
    </row>
    <row r="12" customFormat="false" ht="15" hidden="false" customHeight="false" outlineLevel="0" collapsed="false">
      <c r="A12" s="14"/>
      <c r="B12" s="14"/>
      <c r="C12" s="14"/>
      <c r="D12" s="14"/>
    </row>
    <row r="13" customFormat="false" ht="15" hidden="false" customHeight="false" outlineLevel="0" collapsed="false">
      <c r="A13" s="16" t="s">
        <v>1725</v>
      </c>
      <c r="B13" s="14"/>
      <c r="C13" s="14"/>
      <c r="D13" s="14"/>
    </row>
    <row r="14" customFormat="false" ht="15" hidden="false" customHeight="false" outlineLevel="0" collapsed="false">
      <c r="A14" s="17" t="s">
        <v>21</v>
      </c>
      <c r="B14" s="17" t="s">
        <v>1726</v>
      </c>
      <c r="C14" s="17" t="s">
        <v>1718</v>
      </c>
      <c r="D14" s="17" t="s">
        <v>30</v>
      </c>
    </row>
    <row r="15" customFormat="false" ht="15" hidden="false" customHeight="false" outlineLevel="0" collapsed="false">
      <c r="A15" s="14" t="s">
        <v>36</v>
      </c>
      <c r="B15" s="14" t="n">
        <f aca="false">COUNTIF(Mots!$A$2:$A$368,A15)</f>
        <v>15</v>
      </c>
      <c r="C15" s="14" t="n">
        <f aca="false">COUNTIFS(Mots!$A$2:$A$368,A15,Mots!$M$2:$M$368,"&lt;&gt;")</f>
        <v>0</v>
      </c>
      <c r="D15" s="18" t="n">
        <f aca="false">SUMIF(Mots!$A$2:$A$368,A15,Mots!$J$2:$J$368)</f>
        <v>7750</v>
      </c>
    </row>
    <row r="16" customFormat="false" ht="15" hidden="false" customHeight="false" outlineLevel="0" collapsed="false">
      <c r="A16" s="14" t="s">
        <v>118</v>
      </c>
      <c r="B16" s="14" t="n">
        <f aca="false">COUNTIF(Mots!$A$2:$A$368,A16)</f>
        <v>19</v>
      </c>
      <c r="C16" s="14" t="n">
        <f aca="false">COUNTIFS(Mots!$A$2:$A$368,A16,Mots!$M$2:$M$368,"&lt;&gt;")</f>
        <v>0</v>
      </c>
      <c r="D16" s="18" t="n">
        <f aca="false">SUMIF(Mots!$A$2:$A$368,A16,Mots!$J$2:$J$368)</f>
        <v>6594</v>
      </c>
    </row>
    <row r="17" customFormat="false" ht="15" hidden="false" customHeight="false" outlineLevel="0" collapsed="false">
      <c r="A17" s="14" t="s">
        <v>212</v>
      </c>
      <c r="B17" s="14" t="n">
        <f aca="false">COUNTIF(Mots!$A$2:$A$368,A17)</f>
        <v>19</v>
      </c>
      <c r="C17" s="14" t="n">
        <f aca="false">COUNTIFS(Mots!$A$2:$A$368,A17,Mots!$M$2:$M$368,"&lt;&gt;")</f>
        <v>0</v>
      </c>
      <c r="D17" s="18" t="n">
        <f aca="false">SUMIF(Mots!$A$2:$A$368,A17,Mots!$J$2:$J$368)</f>
        <v>11317</v>
      </c>
    </row>
    <row r="18" customFormat="false" ht="15" hidden="false" customHeight="false" outlineLevel="0" collapsed="false">
      <c r="A18" s="14" t="s">
        <v>295</v>
      </c>
      <c r="B18" s="14" t="n">
        <f aca="false">COUNTIF(Mots!$A$2:$A$368,A18)</f>
        <v>23</v>
      </c>
      <c r="C18" s="14" t="n">
        <f aca="false">COUNTIFS(Mots!$A$2:$A$368,A18,Mots!$M$2:$M$368,"&lt;&gt;")</f>
        <v>0</v>
      </c>
      <c r="D18" s="18" t="n">
        <f aca="false">SUMIF(Mots!$A$2:$A$368,A18,Mots!$J$2:$J$368)</f>
        <v>8435</v>
      </c>
    </row>
    <row r="19" customFormat="false" ht="15" hidden="false" customHeight="false" outlineLevel="0" collapsed="false">
      <c r="A19" s="14" t="s">
        <v>405</v>
      </c>
      <c r="B19" s="14" t="n">
        <f aca="false">COUNTIF(Mots!$A$2:$A$368,A19)</f>
        <v>19</v>
      </c>
      <c r="C19" s="14" t="n">
        <f aca="false">COUNTIFS(Mots!$A$2:$A$368,A19,Mots!$M$2:$M$368,"&lt;&gt;")</f>
        <v>0</v>
      </c>
      <c r="D19" s="18" t="n">
        <f aca="false">SUMIF(Mots!$A$2:$A$368,A19,Mots!$J$2:$J$368)</f>
        <v>6068</v>
      </c>
    </row>
    <row r="20" customFormat="false" ht="15" hidden="false" customHeight="false" outlineLevel="0" collapsed="false">
      <c r="A20" s="14" t="s">
        <v>488</v>
      </c>
      <c r="B20" s="14" t="n">
        <f aca="false">COUNTIF(Mots!$A$2:$A$368,A20)</f>
        <v>17</v>
      </c>
      <c r="C20" s="14" t="n">
        <f aca="false">COUNTIFS(Mots!$A$2:$A$368,A20,Mots!$M$2:$M$368,"&lt;&gt;")</f>
        <v>0</v>
      </c>
      <c r="D20" s="18" t="n">
        <f aca="false">SUMIF(Mots!$A$2:$A$368,A20,Mots!$J$2:$J$368)</f>
        <v>4573</v>
      </c>
    </row>
    <row r="21" customFormat="false" ht="15" hidden="false" customHeight="false" outlineLevel="0" collapsed="false">
      <c r="A21" s="14" t="s">
        <v>564</v>
      </c>
      <c r="B21" s="14" t="n">
        <f aca="false">COUNTIF(Mots!$A$2:$A$368,A21)</f>
        <v>18</v>
      </c>
      <c r="C21" s="14" t="n">
        <f aca="false">COUNTIFS(Mots!$A$2:$A$368,A21,Mots!$M$2:$M$368,"&lt;&gt;")</f>
        <v>0</v>
      </c>
      <c r="D21" s="18" t="n">
        <f aca="false">SUMIF(Mots!$A$2:$A$368,A21,Mots!$J$2:$J$368)</f>
        <v>11192</v>
      </c>
    </row>
    <row r="22" customFormat="false" ht="15" hidden="false" customHeight="false" outlineLevel="0" collapsed="false">
      <c r="A22" s="14" t="s">
        <v>637</v>
      </c>
      <c r="B22" s="14" t="n">
        <f aca="false">COUNTIF(Mots!$A$2:$A$368,A22)</f>
        <v>21</v>
      </c>
      <c r="C22" s="14" t="n">
        <f aca="false">COUNTIFS(Mots!$A$2:$A$368,A22,Mots!$M$2:$M$368,"&lt;&gt;")</f>
        <v>0</v>
      </c>
      <c r="D22" s="18" t="n">
        <f aca="false">SUMIF(Mots!$A$2:$A$368,A22,Mots!$J$2:$J$368)</f>
        <v>3540</v>
      </c>
    </row>
    <row r="23" customFormat="false" ht="15" hidden="false" customHeight="false" outlineLevel="0" collapsed="false">
      <c r="A23" s="14" t="s">
        <v>737</v>
      </c>
      <c r="B23" s="14" t="n">
        <f aca="false">COUNTIF(Mots!$A$2:$A$368,A23)</f>
        <v>20</v>
      </c>
      <c r="C23" s="14" t="n">
        <f aca="false">COUNTIFS(Mots!$A$2:$A$368,A23,Mots!$M$2:$M$368,"&lt;&gt;")</f>
        <v>0</v>
      </c>
      <c r="D23" s="18" t="n">
        <f aca="false">SUMIF(Mots!$A$2:$A$368,A23,Mots!$J$2:$J$368)</f>
        <v>2126</v>
      </c>
    </row>
    <row r="24" customFormat="false" ht="15" hidden="false" customHeight="false" outlineLevel="0" collapsed="false">
      <c r="A24" s="14" t="s">
        <v>826</v>
      </c>
      <c r="B24" s="14" t="n">
        <f aca="false">COUNTIF(Mots!$A$2:$A$368,A24)</f>
        <v>19</v>
      </c>
      <c r="C24" s="14" t="n">
        <f aca="false">COUNTIFS(Mots!$A$2:$A$368,A24,Mots!$M$2:$M$368,"&lt;&gt;")</f>
        <v>0</v>
      </c>
      <c r="D24" s="18" t="n">
        <f aca="false">SUMIF(Mots!$A$2:$A$368,A24,Mots!$J$2:$J$368)</f>
        <v>14995</v>
      </c>
    </row>
    <row r="25" customFormat="false" ht="15" hidden="false" customHeight="false" outlineLevel="0" collapsed="false">
      <c r="A25" s="14" t="s">
        <v>893</v>
      </c>
      <c r="B25" s="14" t="n">
        <f aca="false">COUNTIF(Mots!$A$2:$A$368,A25)</f>
        <v>16</v>
      </c>
      <c r="C25" s="14" t="n">
        <f aca="false">COUNTIFS(Mots!$A$2:$A$368,A25,Mots!$M$2:$M$368,"&lt;&gt;")</f>
        <v>0</v>
      </c>
      <c r="D25" s="18" t="n">
        <f aca="false">SUMIF(Mots!$A$2:$A$368,A25,Mots!$J$2:$J$368)</f>
        <v>1429</v>
      </c>
    </row>
    <row r="26" customFormat="false" ht="15" hidden="false" customHeight="false" outlineLevel="0" collapsed="false">
      <c r="A26" s="14" t="s">
        <v>971</v>
      </c>
      <c r="B26" s="14" t="n">
        <f aca="false">COUNTIF(Mots!$A$2:$A$368,A26)</f>
        <v>21</v>
      </c>
      <c r="C26" s="14" t="n">
        <f aca="false">COUNTIFS(Mots!$A$2:$A$368,A26,Mots!$M$2:$M$368,"&lt;&gt;")</f>
        <v>0</v>
      </c>
      <c r="D26" s="18" t="n">
        <f aca="false">SUMIF(Mots!$A$2:$A$368,A26,Mots!$J$2:$J$368)</f>
        <v>3064</v>
      </c>
    </row>
    <row r="27" customFormat="false" ht="15" hidden="false" customHeight="false" outlineLevel="0" collapsed="false">
      <c r="A27" s="14" t="s">
        <v>1066</v>
      </c>
      <c r="B27" s="14" t="n">
        <f aca="false">COUNTIF(Mots!$A$2:$A$368,A27)</f>
        <v>17</v>
      </c>
      <c r="C27" s="14" t="n">
        <f aca="false">COUNTIFS(Mots!$A$2:$A$368,A27,Mots!$M$2:$M$368,"&lt;&gt;")</f>
        <v>0</v>
      </c>
      <c r="D27" s="18" t="n">
        <f aca="false">SUMIF(Mots!$A$2:$A$368,A27,Mots!$J$2:$J$368)</f>
        <v>2733</v>
      </c>
    </row>
    <row r="28" customFormat="false" ht="15" hidden="false" customHeight="false" outlineLevel="0" collapsed="false">
      <c r="A28" s="14" t="s">
        <v>1146</v>
      </c>
      <c r="B28" s="14" t="n">
        <f aca="false">COUNTIF(Mots!$A$2:$A$368,A28)</f>
        <v>16</v>
      </c>
      <c r="C28" s="14" t="n">
        <f aca="false">COUNTIFS(Mots!$A$2:$A$368,A28,Mots!$M$2:$M$368,"&lt;&gt;")</f>
        <v>0</v>
      </c>
      <c r="D28" s="18" t="n">
        <f aca="false">SUMIF(Mots!$A$2:$A$368,A28,Mots!$J$2:$J$368)</f>
        <v>1920</v>
      </c>
    </row>
    <row r="29" customFormat="false" ht="15" hidden="false" customHeight="false" outlineLevel="0" collapsed="false">
      <c r="A29" s="14" t="s">
        <v>1224</v>
      </c>
      <c r="B29" s="14" t="n">
        <f aca="false">COUNTIF(Mots!$A$2:$A$368,A29)</f>
        <v>18</v>
      </c>
      <c r="C29" s="14" t="n">
        <f aca="false">COUNTIFS(Mots!$A$2:$A$368,A29,Mots!$M$2:$M$368,"&lt;&gt;")</f>
        <v>0</v>
      </c>
      <c r="D29" s="18" t="n">
        <f aca="false">SUMIF(Mots!$A$2:$A$368,A29,Mots!$J$2:$J$368)</f>
        <v>1499</v>
      </c>
    </row>
    <row r="30" customFormat="false" ht="15" hidden="false" customHeight="false" outlineLevel="0" collapsed="false">
      <c r="A30" s="14" t="s">
        <v>1300</v>
      </c>
      <c r="B30" s="14" t="n">
        <f aca="false">COUNTIF(Mots!$A$2:$A$368,A30)</f>
        <v>19</v>
      </c>
      <c r="C30" s="14" t="n">
        <f aca="false">COUNTIFS(Mots!$A$2:$A$368,A30,Mots!$M$2:$M$368,"&lt;&gt;")</f>
        <v>0</v>
      </c>
      <c r="D30" s="18" t="n">
        <f aca="false">SUMIF(Mots!$A$2:$A$368,A30,Mots!$J$2:$J$368)</f>
        <v>2729</v>
      </c>
    </row>
    <row r="31" customFormat="false" ht="15" hidden="false" customHeight="false" outlineLevel="0" collapsed="false">
      <c r="A31" s="14" t="s">
        <v>1389</v>
      </c>
      <c r="B31" s="14" t="n">
        <f aca="false">COUNTIF(Mots!$A$2:$A$368,A31)</f>
        <v>16</v>
      </c>
      <c r="C31" s="14" t="n">
        <f aca="false">COUNTIFS(Mots!$A$2:$A$368,A31,Mots!$M$2:$M$368,"&lt;&gt;")</f>
        <v>0</v>
      </c>
      <c r="D31" s="18" t="n">
        <f aca="false">SUMIF(Mots!$A$2:$A$368,A31,Mots!$J$2:$J$368)</f>
        <v>943</v>
      </c>
    </row>
    <row r="32" customFormat="false" ht="15" hidden="false" customHeight="false" outlineLevel="0" collapsed="false">
      <c r="A32" s="14" t="s">
        <v>1469</v>
      </c>
      <c r="B32" s="14" t="n">
        <f aca="false">COUNTIF(Mots!$A$2:$A$368,A32)</f>
        <v>18</v>
      </c>
      <c r="C32" s="14" t="n">
        <f aca="false">COUNTIFS(Mots!$A$2:$A$368,A32,Mots!$M$2:$M$368,"&lt;&gt;")</f>
        <v>0</v>
      </c>
      <c r="D32" s="18" t="n">
        <f aca="false">SUMIF(Mots!$A$2:$A$368,A32,Mots!$J$2:$J$368)</f>
        <v>2061</v>
      </c>
    </row>
    <row r="33" customFormat="false" ht="15" hidden="false" customHeight="false" outlineLevel="0" collapsed="false">
      <c r="A33" s="14" t="s">
        <v>1554</v>
      </c>
      <c r="B33" s="14" t="n">
        <f aca="false">COUNTIF(Mots!$A$2:$A$368,A33)</f>
        <v>16</v>
      </c>
      <c r="C33" s="14" t="n">
        <f aca="false">COUNTIFS(Mots!$A$2:$A$368,A33,Mots!$M$2:$M$368,"&lt;&gt;")</f>
        <v>0</v>
      </c>
      <c r="D33" s="18" t="n">
        <f aca="false">SUMIF(Mots!$A$2:$A$368,A33,Mots!$J$2:$J$368)</f>
        <v>2445</v>
      </c>
    </row>
    <row r="34" customFormat="false" ht="15" hidden="false" customHeight="false" outlineLevel="0" collapsed="false">
      <c r="A34" s="14" t="s">
        <v>1626</v>
      </c>
      <c r="B34" s="14" t="n">
        <f aca="false">COUNTIF(Mots!$A$2:$A$368,A34)</f>
        <v>20</v>
      </c>
      <c r="C34" s="14" t="n">
        <f aca="false">COUNTIFS(Mots!$A$2:$A$368,A34,Mots!$M$2:$M$368,"&lt;&gt;")</f>
        <v>0</v>
      </c>
      <c r="D34" s="18" t="n">
        <f aca="false">SUMIF(Mots!$A$2:$A$368,A34,Mots!$J$2:$J$368)</f>
        <v>1575</v>
      </c>
    </row>
    <row r="36" customFormat="false" ht="15" hidden="false" customHeight="false" outlineLevel="0" collapsed="false">
      <c r="A36" s="19" t="s">
        <v>1727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2026-08-13T10:49:20Z</dcterms:created>
  <dc:creator>openpyxl</dc:creator>
  <dc:description/>
  <dc:language>en-US</dc:language>
  <cp:lastModifiedBy/>
  <dcterms:modified xsi:type="dcterms:W3CDTF">2026-08-13T10:49:20Z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